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进度表" sheetId="1" state="visible" r:id="rId3"/>
    <sheet name="主题看板" sheetId="2" state="visible" r:id="rId4"/>
    <sheet name="节奏参考" sheetId="3" state="visible" r:id="rId5"/>
  </sheets>
  <definedNames>
    <definedName function="false" hidden="true" localSheetId="0" name="_xlnm._FilterDatabase" vbProcedure="false">进度表!$A$1:$L$138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<sst xmlns="http://schemas.openxmlformats.org/spreadsheetml/2006/main" count="857" uniqueCount="397">
  <si>
    <t xml:space="preserve">序号</t>
  </si>
  <si>
    <t xml:space="preserve">题号</t>
  </si>
  <si>
    <t xml:space="preserve">主题</t>
  </si>
  <si>
    <t xml:space="preserve">题目（中文）</t>
  </si>
  <si>
    <t xml:space="preserve">题目（英文）</t>
  </si>
  <si>
    <t xml:space="preserve">难度</t>
  </si>
  <si>
    <t xml:space="preserve">备选</t>
  </si>
  <si>
    <t xml:space="preserve">完成日期</t>
  </si>
  <si>
    <t xml:space="preserve">看解析?</t>
  </si>
  <si>
    <t xml:space="preserve">盲写通过日期</t>
  </si>
  <si>
    <t xml:space="preserve">状态</t>
  </si>
  <si>
    <t xml:space="preserve">卡点笔记</t>
  </si>
  <si>
    <t xml:space="preserve">数组与哈希</t>
  </si>
  <si>
    <t xml:space="preserve">存在重复元素</t>
  </si>
  <si>
    <t xml:space="preserve">Contains Duplicate</t>
  </si>
  <si>
    <t xml:space="preserve">Easy</t>
  </si>
  <si>
    <t xml:space="preserve">已完成</t>
  </si>
  <si>
    <t xml:space="preserve">暴力 O(n²) → 哈希表 O(n)：一次遍历里边查边插，不必先全部入表</t>
  </si>
  <si>
    <t xml:space="preserve">有效的字母异位词</t>
  </si>
  <si>
    <t xml:space="preserve">Valid Anagram</t>
  </si>
  <si>
    <t xml:space="preserve">是</t>
  </si>
  <si>
    <t xml:space="preserve">先写成排序 O(n log n)；后在提示下改为 26 字母计数数组 O(n)。坑：array 默认不清零，必须 cnts{}, cntt{}</t>
  </si>
  <si>
    <t xml:space="preserve">两数之和</t>
  </si>
  <si>
    <t xml:space="preserve">Two Sum</t>
  </si>
  <si>
    <t xml:space="preserve">未开始</t>
  </si>
  <si>
    <t xml:space="preserve">字母异位词分组</t>
  </si>
  <si>
    <t xml:space="preserve">Group Anagrams</t>
  </si>
  <si>
    <t xml:space="preserve">Medium</t>
  </si>
  <si>
    <t xml:space="preserve">用「排序后的字符串」当哈希 key 分组；组间/组内顺序任意，判题需归一化后再比较</t>
  </si>
  <si>
    <t xml:space="preserve">前 K 个高频元素</t>
  </si>
  <si>
    <t xml:space="preserve">Top K Frequent Elements</t>
  </si>
  <si>
    <t xml:space="preserve">哈希计数 + 桶排序（按频次分桶）可做到 O(n)；用堆则是 O(n log k)</t>
  </si>
  <si>
    <t xml:space="preserve">字符串编码与解码</t>
  </si>
  <si>
    <t xml:space="preserve">Encode and Decode Strings</t>
  </si>
  <si>
    <t xml:space="preserve">可选</t>
  </si>
  <si>
    <t xml:space="preserve">进行中</t>
  </si>
  <si>
    <t xml:space="preserve">未完成：答题区仍是 TODO。encode/decode 必须严格可逆（round-trip），提示用长度前缀而非分隔符</t>
  </si>
  <si>
    <t xml:space="preserve">除自身以外数组的乘积</t>
  </si>
  <si>
    <t xml:space="preserve">Product of Array Except Self</t>
  </si>
  <si>
    <t xml:space="preserve">左右前缀积各扫一遍；进阶要求 O(1) 额外空间（用输出数组直接存前缀积）</t>
  </si>
  <si>
    <t xml:space="preserve">有效的数独</t>
  </si>
  <si>
    <t xml:space="preserve">Valid Sudoku</t>
  </si>
  <si>
    <t xml:space="preserve">行/列/宫各用一次集合判重（3×9 个集合）；注意宫的编号映射 i/3*3+j/3</t>
  </si>
  <si>
    <t xml:space="preserve">最长连续序列</t>
  </si>
  <si>
    <t xml:space="preserve">Longest Consecutive Sequence</t>
  </si>
  <si>
    <t xml:space="preserve">需重刷</t>
  </si>
  <si>
    <t xml:space="preserve">当前用排序 O(n log n)，不满足题目要求的 O(n)。正解：哈希集合 + 只用「无前驱」的元素当序列起点</t>
  </si>
  <si>
    <t xml:space="preserve">双指针</t>
  </si>
  <si>
    <t xml:space="preserve">验证回文串</t>
  </si>
  <si>
    <t xml:space="preserve">Valid Palindrome</t>
  </si>
  <si>
    <t xml:space="preserve">否</t>
  </si>
  <si>
    <t xml:space="preserve"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</si>
  <si>
    <t xml:space="preserve">两数之和 II - 输入有序数组</t>
  </si>
  <si>
    <t xml:space="preserve">Two Sum II - Input Array Is Sorted</t>
  </si>
  <si>
    <t xml:space="preserve">三数之和</t>
  </si>
  <si>
    <t xml:space="preserve">3Sum</t>
  </si>
  <si>
    <t xml:space="preserve">排序 + 固定一数后退化为两数之和；去重必须在「选完当前数之后」做</t>
  </si>
  <si>
    <t xml:space="preserve">盛最多水的容器</t>
  </si>
  <si>
    <t xml:space="preserve">Container With Most Water</t>
  </si>
  <si>
    <t xml:space="preserve">对撞双指针；每次移动较短的那一侧（贪心），O(n)</t>
  </si>
  <si>
    <t xml:space="preserve">接雨水</t>
  </si>
  <si>
    <t xml:space="preserve">Trapping Rain Water</t>
  </si>
  <si>
    <t xml:space="preserve">Hard</t>
  </si>
  <si>
    <t xml:space="preserve">滑动窗口</t>
  </si>
  <si>
    <t xml:space="preserve">买卖股票的最佳时机</t>
  </si>
  <si>
    <t xml:space="preserve">Best Time to Buy and Sell Stock</t>
  </si>
  <si>
    <t xml:space="preserve">无重复字符的最长子串</t>
  </si>
  <si>
    <t xml:space="preserve">Longest Substring Without Repeating Characters</t>
  </si>
  <si>
    <t xml:space="preserve">滑动窗口 + 集合；右指针扩张、遇重复则左指针收缩</t>
  </si>
  <si>
    <t xml:space="preserve">替换后的最长重复字符</t>
  </si>
  <si>
    <t xml:space="preserve">Longest Repeating Character Replacement</t>
  </si>
  <si>
    <t xml:space="preserve">字符串的排列</t>
  </si>
  <si>
    <t xml:space="preserve">Permutation in String</t>
  </si>
  <si>
    <t xml:space="preserve">最小覆盖子串</t>
  </si>
  <si>
    <t xml:space="preserve">Minimum Window Substring</t>
  </si>
  <si>
    <t xml:space="preserve">滑动窗口最大值</t>
  </si>
  <si>
    <t xml:space="preserve">Sliding Window Maximum</t>
  </si>
  <si>
    <t xml:space="preserve">栈</t>
  </si>
  <si>
    <t xml:space="preserve">有效的括号</t>
  </si>
  <si>
    <t xml:space="preserve">Valid Parentheses</t>
  </si>
  <si>
    <t xml:space="preserve">最小栈</t>
  </si>
  <si>
    <t xml:space="preserve">Min Stack</t>
  </si>
  <si>
    <t xml:space="preserve">逆波兰表达式求值</t>
  </si>
  <si>
    <t xml:space="preserve">Evaluate Reverse Polish Notation</t>
  </si>
  <si>
    <t xml:space="preserve">每日温度</t>
  </si>
  <si>
    <t xml:space="preserve">Daily Temperatures</t>
  </si>
  <si>
    <t xml:space="preserve">车队</t>
  </si>
  <si>
    <t xml:space="preserve">Car Fleet</t>
  </si>
  <si>
    <t xml:space="preserve">柱状图中最大的矩形</t>
  </si>
  <si>
    <t xml:space="preserve">Largest Rectangle in Histogram</t>
  </si>
  <si>
    <t xml:space="preserve">二分查找</t>
  </si>
  <si>
    <t xml:space="preserve">Binary Search</t>
  </si>
  <si>
    <t xml:space="preserve">搜索二维矩阵</t>
  </si>
  <si>
    <t xml:space="preserve">Search a 2D Matrix</t>
  </si>
  <si>
    <t xml:space="preserve">爱吃香蕉的珂珂</t>
  </si>
  <si>
    <t xml:space="preserve">Koko Eating Bananas</t>
  </si>
  <si>
    <t xml:space="preserve">寻找旋转排序数组中的最小值</t>
  </si>
  <si>
    <t xml:space="preserve">Find Minimum in Rotated Sorted Array</t>
  </si>
  <si>
    <t xml:space="preserve">搜索旋转排序数组</t>
  </si>
  <si>
    <t xml:space="preserve">Search in Rotated Sorted Array</t>
  </si>
  <si>
    <t xml:space="preserve">基于时间的键值存储</t>
  </si>
  <si>
    <t xml:space="preserve">Time Based Key-Value Store</t>
  </si>
  <si>
    <t xml:space="preserve">寻找两个正序数组的中位数</t>
  </si>
  <si>
    <t xml:space="preserve">Median of Two Sorted Arrays</t>
  </si>
  <si>
    <t xml:space="preserve">二分切分（cut1/cut2）求中位数，O(log(min(m,n)))；边界处理是难点</t>
  </si>
  <si>
    <t xml:space="preserve">链表</t>
  </si>
  <si>
    <t xml:space="preserve">反转链表</t>
  </si>
  <si>
    <t xml:space="preserve">Reverse Linked List</t>
  </si>
  <si>
    <t xml:space="preserve">合并两个有序链表</t>
  </si>
  <si>
    <t xml:space="preserve">Merge Two Sorted Lists</t>
  </si>
  <si>
    <t xml:space="preserve">哑结点 + 双指针归并；剩余部分直接接上，不必逐节点拷贝</t>
  </si>
  <si>
    <t xml:space="preserve">重排链表</t>
  </si>
  <si>
    <t xml:space="preserve">Reorder List</t>
  </si>
  <si>
    <t xml:space="preserve">删除链表的倒数第 N 个结点</t>
  </si>
  <si>
    <t xml:space="preserve">Remove Nth Node From End of List</t>
  </si>
  <si>
    <t xml:space="preserve">哑结点 + 快慢指针，快指针先走 n+1 步，一次遍历</t>
  </si>
  <si>
    <t xml:space="preserve">随机链表的复制</t>
  </si>
  <si>
    <t xml:space="preserve">Copy List with Random Pointer</t>
  </si>
  <si>
    <t xml:space="preserve">两数相加</t>
  </si>
  <si>
    <t xml:space="preserve">Add Two Numbers</t>
  </si>
  <si>
    <t xml:space="preserve">哑结点开新链 + 进位 carry 贯穿循环；注意 l1/l2 为空的收尾与最后一位进位</t>
  </si>
  <si>
    <t xml:space="preserve">环形链表</t>
  </si>
  <si>
    <t xml:space="preserve">Linked List Cycle</t>
  </si>
  <si>
    <t xml:space="preserve">寻找重复数</t>
  </si>
  <si>
    <t xml:space="preserve">Find the Duplicate Number</t>
  </si>
  <si>
    <t xml:space="preserve">LRU 缓存</t>
  </si>
  <si>
    <t xml:space="preserve">LRU Cache</t>
  </si>
  <si>
    <t xml:space="preserve">合并 K 个升序链表</t>
  </si>
  <si>
    <t xml:space="preserve">Merge k Sorted Lists</t>
  </si>
  <si>
    <t xml:space="preserve">逐个比较 k 个链表头取最小（O(N·k)）；进阶可用优先队列 O(N log k)</t>
  </si>
  <si>
    <t xml:space="preserve">K 个一组翻转链表</t>
  </si>
  <si>
    <t xml:space="preserve">Reverse Nodes in k-Group</t>
  </si>
  <si>
    <t xml:space="preserve">哑结点 + 分组翻转：先找组尾，组内原地反转后重接；链表题里最难的一档</t>
  </si>
  <si>
    <t xml:space="preserve">树</t>
  </si>
  <si>
    <t xml:space="preserve">翻转二叉树</t>
  </si>
  <si>
    <t xml:space="preserve">Invert Binary Tree</t>
  </si>
  <si>
    <t xml:space="preserve">二叉树的最大深度</t>
  </si>
  <si>
    <t xml:space="preserve">Maximum Depth of Binary Tree</t>
  </si>
  <si>
    <t xml:space="preserve">二叉树的直径</t>
  </si>
  <si>
    <t xml:space="preserve">Diameter of Binary Tree</t>
  </si>
  <si>
    <t xml:space="preserve">平衡二叉树</t>
  </si>
  <si>
    <t xml:space="preserve">Balanced Binary Tree</t>
  </si>
  <si>
    <t xml:space="preserve">相同的树</t>
  </si>
  <si>
    <t xml:space="preserve">Same Tree</t>
  </si>
  <si>
    <t xml:space="preserve">另一棵树的子树</t>
  </si>
  <si>
    <t xml:space="preserve">Subtree of Another Tree</t>
  </si>
  <si>
    <t xml:space="preserve">二叉搜索树的最近公共祖先</t>
  </si>
  <si>
    <t xml:space="preserve">Lowest Common Ancestor of a BST</t>
  </si>
  <si>
    <t xml:space="preserve">二叉树的层序遍历</t>
  </si>
  <si>
    <t xml:space="preserve">Binary Tree Level Order Traversal</t>
  </si>
  <si>
    <t xml:space="preserve">二叉树的右视图</t>
  </si>
  <si>
    <t xml:space="preserve">Binary Tree Right Side View</t>
  </si>
  <si>
    <t xml:space="preserve">统计二叉树中好节点的数目</t>
  </si>
  <si>
    <t xml:space="preserve">Count Good Nodes in Binary Tree</t>
  </si>
  <si>
    <t xml:space="preserve">验证二叉搜索树</t>
  </si>
  <si>
    <t xml:space="preserve">Validate Binary Search Tree</t>
  </si>
  <si>
    <t xml:space="preserve">二叉搜索树中第 K 小的元素</t>
  </si>
  <si>
    <t xml:space="preserve">Kth Smallest Element in a BST</t>
  </si>
  <si>
    <t xml:space="preserve">从前序与中序遍历序列构造二叉树</t>
  </si>
  <si>
    <t xml:space="preserve">Construct Binary Tree from Preorder and Inorder Traversal</t>
  </si>
  <si>
    <t xml:space="preserve">二叉树中的最大路径和</t>
  </si>
  <si>
    <t xml:space="preserve">Binary Tree Maximum Path Sum</t>
  </si>
  <si>
    <t xml:space="preserve">二叉树的序列化与反序列化</t>
  </si>
  <si>
    <t xml:space="preserve">Serialize and Deserialize Binary Tree</t>
  </si>
  <si>
    <t xml:space="preserve">字典树</t>
  </si>
  <si>
    <t xml:space="preserve">实现 Trie (前缀树)</t>
  </si>
  <si>
    <t xml:space="preserve">Implement Trie (Prefix Tree)</t>
  </si>
  <si>
    <t xml:space="preserve">添加与搜索单词 - 数据结构设计</t>
  </si>
  <si>
    <t xml:space="preserve">Design Add and Search Words Data Structure</t>
  </si>
  <si>
    <t xml:space="preserve">单词搜索 II</t>
  </si>
  <si>
    <t xml:space="preserve">Word Search II</t>
  </si>
  <si>
    <t xml:space="preserve">堆与优先队列</t>
  </si>
  <si>
    <t xml:space="preserve">数据流中的第 K 大元素</t>
  </si>
  <si>
    <t xml:space="preserve">Kth Largest Element in a Stream</t>
  </si>
  <si>
    <t xml:space="preserve">最后一块石头的重量</t>
  </si>
  <si>
    <t xml:space="preserve">Last Stone Weight</t>
  </si>
  <si>
    <t xml:space="preserve">最接近原点的 K 个点</t>
  </si>
  <si>
    <t xml:space="preserve">K Closest Points to Origin</t>
  </si>
  <si>
    <t xml:space="preserve">数组中的第 K 个最大元素</t>
  </si>
  <si>
    <t xml:space="preserve">Kth Largest Element in an Array</t>
  </si>
  <si>
    <t xml:space="preserve">任务调度器</t>
  </si>
  <si>
    <t xml:space="preserve">Task Scheduler</t>
  </si>
  <si>
    <t xml:space="preserve">设计推特</t>
  </si>
  <si>
    <t xml:space="preserve">Design Twitter</t>
  </si>
  <si>
    <t xml:space="preserve">数据流的中位数</t>
  </si>
  <si>
    <t xml:space="preserve">Find Median from Data Stream</t>
  </si>
  <si>
    <t xml:space="preserve">回溯</t>
  </si>
  <si>
    <t xml:space="preserve">子集</t>
  </si>
  <si>
    <t xml:space="preserve">Subsets</t>
  </si>
  <si>
    <t xml:space="preserve">组合总和</t>
  </si>
  <si>
    <t xml:space="preserve">Combination Sum</t>
  </si>
  <si>
    <t xml:space="preserve">全排列</t>
  </si>
  <si>
    <t xml:space="preserve">Permutations</t>
  </si>
  <si>
    <t xml:space="preserve">子集 II</t>
  </si>
  <si>
    <t xml:space="preserve">Subsets II</t>
  </si>
  <si>
    <t xml:space="preserve">组合总和 II</t>
  </si>
  <si>
    <t xml:space="preserve">Combination Sum II</t>
  </si>
  <si>
    <t xml:space="preserve">单词搜索</t>
  </si>
  <si>
    <t xml:space="preserve">Word Search</t>
  </si>
  <si>
    <t xml:space="preserve">分割回文串</t>
  </si>
  <si>
    <t xml:space="preserve">Palindrome Partitioning</t>
  </si>
  <si>
    <t xml:space="preserve">电话号码的字母组合</t>
  </si>
  <si>
    <t xml:space="preserve">Letter Combinations of a Phone Number</t>
  </si>
  <si>
    <t xml:space="preserve">回溯 / 逐位笛卡尔积；注意空输入返回空数组</t>
  </si>
  <si>
    <t xml:space="preserve">N 皇后</t>
  </si>
  <si>
    <t xml:space="preserve">N-Queens</t>
  </si>
  <si>
    <t xml:space="preserve">图论</t>
  </si>
  <si>
    <t xml:space="preserve">岛屿数量</t>
  </si>
  <si>
    <t xml:space="preserve">Number of Islands</t>
  </si>
  <si>
    <t xml:space="preserve">克隆图</t>
  </si>
  <si>
    <t xml:space="preserve">Clone Graph</t>
  </si>
  <si>
    <t xml:space="preserve">岛屿的最大面积</t>
  </si>
  <si>
    <t xml:space="preserve">Max Area of Island</t>
  </si>
  <si>
    <t xml:space="preserve">太平洋大西洋水流问题</t>
  </si>
  <si>
    <t xml:space="preserve">Pacific Atlantic Water Flow</t>
  </si>
  <si>
    <t xml:space="preserve">被围绕的区域</t>
  </si>
  <si>
    <t xml:space="preserve">Surrounded Regions</t>
  </si>
  <si>
    <t xml:space="preserve">课程表</t>
  </si>
  <si>
    <t xml:space="preserve">Course Schedule</t>
  </si>
  <si>
    <t xml:space="preserve">课程表 II</t>
  </si>
  <si>
    <t xml:space="preserve">Course Schedule II</t>
  </si>
  <si>
    <t xml:space="preserve">以图判树</t>
  </si>
  <si>
    <t xml:space="preserve">Graph Valid Tree</t>
  </si>
  <si>
    <t xml:space="preserve">无向图中连通分量的数目</t>
  </si>
  <si>
    <t xml:space="preserve">Number of Connected Components in an Undirected Graph</t>
  </si>
  <si>
    <t xml:space="preserve">单词接龙</t>
  </si>
  <si>
    <t xml:space="preserve">Word Ladder</t>
  </si>
  <si>
    <t xml:space="preserve">进阶图论</t>
  </si>
  <si>
    <t xml:space="preserve">网络延迟时间</t>
  </si>
  <si>
    <t xml:space="preserve">Network Delay Time</t>
  </si>
  <si>
    <t xml:space="preserve">连接所有点的最小费用</t>
  </si>
  <si>
    <t xml:space="preserve">Min Cost to Connect All Points</t>
  </si>
  <si>
    <t xml:space="preserve">水位上升的泳池中游泳</t>
  </si>
  <si>
    <t xml:space="preserve">Swim in Rising Water</t>
  </si>
  <si>
    <t xml:space="preserve">火星词典</t>
  </si>
  <si>
    <t xml:space="preserve">Alien Dictionary</t>
  </si>
  <si>
    <t xml:space="preserve">K 站中转内最便宜的航班</t>
  </si>
  <si>
    <t xml:space="preserve">Cheapest Flights Within K Stops</t>
  </si>
  <si>
    <t xml:space="preserve">重新安排行程</t>
  </si>
  <si>
    <t xml:space="preserve">Reconstruct Itinerary</t>
  </si>
  <si>
    <t xml:space="preserve">冗余连接</t>
  </si>
  <si>
    <t xml:space="preserve">Redundant Connection</t>
  </si>
  <si>
    <t xml:space="preserve">连通分量计数（并查集模板）</t>
  </si>
  <si>
    <t xml:space="preserve">Count Connected Components</t>
  </si>
  <si>
    <t xml:space="preserve">一维动态规划</t>
  </si>
  <si>
    <t xml:space="preserve">爬楼梯</t>
  </si>
  <si>
    <t xml:space="preserve">Climbing Stairs</t>
  </si>
  <si>
    <t xml:space="preserve">使用最小花费爬楼梯</t>
  </si>
  <si>
    <t xml:space="preserve">Min Cost Climbing Stairs</t>
  </si>
  <si>
    <t xml:space="preserve">打家劫舍</t>
  </si>
  <si>
    <t xml:space="preserve">House Robber</t>
  </si>
  <si>
    <t xml:space="preserve">打家劫舍 II</t>
  </si>
  <si>
    <t xml:space="preserve">House Robber II</t>
  </si>
  <si>
    <t xml:space="preserve">最长回文子串</t>
  </si>
  <si>
    <t xml:space="preserve">Longest Palindromic Substring</t>
  </si>
  <si>
    <t xml:space="preserve">中心扩展法，分奇偶两种中心；另有 Manacher O(n) 可进阶</t>
  </si>
  <si>
    <t xml:space="preserve">回文子串</t>
  </si>
  <si>
    <t xml:space="preserve">Palindromic Substrings</t>
  </si>
  <si>
    <t xml:space="preserve">解码方法</t>
  </si>
  <si>
    <t xml:space="preserve">Decode Ways</t>
  </si>
  <si>
    <t xml:space="preserve">零钱兑换</t>
  </si>
  <si>
    <t xml:space="preserve">Coin Change</t>
  </si>
  <si>
    <t xml:space="preserve">乘积最大子数组</t>
  </si>
  <si>
    <t xml:space="preserve">Maximum Product Subarray</t>
  </si>
  <si>
    <t xml:space="preserve">单词拆分</t>
  </si>
  <si>
    <t xml:space="preserve">Word Break</t>
  </si>
  <si>
    <t xml:space="preserve">最长递增子序列</t>
  </si>
  <si>
    <t xml:space="preserve">Longest Increasing Subsequence</t>
  </si>
  <si>
    <t xml:space="preserve">分割等和子集</t>
  </si>
  <si>
    <t xml:space="preserve">Partition Equal Subset Sum</t>
  </si>
  <si>
    <t xml:space="preserve">二维动态规划</t>
  </si>
  <si>
    <t xml:space="preserve">不同路径</t>
  </si>
  <si>
    <t xml:space="preserve">Unique Paths</t>
  </si>
  <si>
    <t xml:space="preserve">最长公共子序列</t>
  </si>
  <si>
    <t xml:space="preserve">Longest Common Subsequence</t>
  </si>
  <si>
    <t xml:space="preserve">买卖股票的最佳时机含冷冻期</t>
  </si>
  <si>
    <t xml:space="preserve">Best Time to Buy and Sell Stock with Cooldown</t>
  </si>
  <si>
    <t xml:space="preserve">零钱兑换 II</t>
  </si>
  <si>
    <t xml:space="preserve">Coin Change II</t>
  </si>
  <si>
    <t xml:space="preserve">目标和</t>
  </si>
  <si>
    <t xml:space="preserve">Target Sum</t>
  </si>
  <si>
    <t xml:space="preserve">交错字符串</t>
  </si>
  <si>
    <t xml:space="preserve">Interleaving String</t>
  </si>
  <si>
    <t xml:space="preserve">矩阵中的最长递增路径</t>
  </si>
  <si>
    <t xml:space="preserve">Longest Increasing Path in a Matrix</t>
  </si>
  <si>
    <t xml:space="preserve">不同的子序列</t>
  </si>
  <si>
    <t xml:space="preserve">Distinct Subsequences</t>
  </si>
  <si>
    <t xml:space="preserve">编辑距离</t>
  </si>
  <si>
    <t xml:space="preserve">Edit Distance</t>
  </si>
  <si>
    <t xml:space="preserve">戳气球</t>
  </si>
  <si>
    <t xml:space="preserve">Burst Balloons</t>
  </si>
  <si>
    <t xml:space="preserve">正则表达式匹配</t>
  </si>
  <si>
    <t xml:space="preserve">Regular Expression Matching</t>
  </si>
  <si>
    <t xml:space="preserve">二维 DP，按「模式第二个字符是否为 *」分情况转移</t>
  </si>
  <si>
    <t xml:space="preserve">贪心与区间</t>
  </si>
  <si>
    <t xml:space="preserve">最大子数组和</t>
  </si>
  <si>
    <t xml:space="preserve">Maximum Subarray</t>
  </si>
  <si>
    <t xml:space="preserve">跳跃游戏</t>
  </si>
  <si>
    <t xml:space="preserve">Jump Game</t>
  </si>
  <si>
    <t xml:space="preserve">跳跃游戏 II</t>
  </si>
  <si>
    <t xml:space="preserve">Jump Game II</t>
  </si>
  <si>
    <t xml:space="preserve">加油站</t>
  </si>
  <si>
    <t xml:space="preserve">Gas Station</t>
  </si>
  <si>
    <t xml:space="preserve">一手顺子</t>
  </si>
  <si>
    <t xml:space="preserve">Hand of Straights</t>
  </si>
  <si>
    <t xml:space="preserve">合并若干三元组以形成目标三元组</t>
  </si>
  <si>
    <t xml:space="preserve">Merge Triplets to Form Target Triplet</t>
  </si>
  <si>
    <t xml:space="preserve">划分字母区间</t>
  </si>
  <si>
    <t xml:space="preserve">Partition Labels</t>
  </si>
  <si>
    <t xml:space="preserve">有效的括号字符串</t>
  </si>
  <si>
    <t xml:space="preserve">Valid Parenthesis String</t>
  </si>
  <si>
    <t xml:space="preserve">无重叠区间</t>
  </si>
  <si>
    <t xml:space="preserve">Non-overlapping Intervals</t>
  </si>
  <si>
    <t xml:space="preserve">合并区间</t>
  </si>
  <si>
    <t xml:space="preserve">Merge Intervals</t>
  </si>
  <si>
    <t xml:space="preserve">插入区间</t>
  </si>
  <si>
    <t xml:space="preserve">Insert Interval</t>
  </si>
  <si>
    <t xml:space="preserve">位运算</t>
  </si>
  <si>
    <t xml:space="preserve">只出现一次的数字</t>
  </si>
  <si>
    <t xml:space="preserve">Single Number</t>
  </si>
  <si>
    <t xml:space="preserve">位 1 的个数</t>
  </si>
  <si>
    <t xml:space="preserve">Number of 1 Bits</t>
  </si>
  <si>
    <t xml:space="preserve">比特位计数</t>
  </si>
  <si>
    <t xml:space="preserve">Counting Bits</t>
  </si>
  <si>
    <t xml:space="preserve">颠倒二进制位</t>
  </si>
  <si>
    <t xml:space="preserve">Reverse Bits</t>
  </si>
  <si>
    <t xml:space="preserve">丢失的数字</t>
  </si>
  <si>
    <t xml:space="preserve">Missing Number</t>
  </si>
  <si>
    <t xml:space="preserve">两整数之和</t>
  </si>
  <si>
    <t xml:space="preserve">Sum of Two Integers</t>
  </si>
  <si>
    <t xml:space="preserve">整数反转</t>
  </si>
  <si>
    <t xml:space="preserve">Reverse Integer</t>
  </si>
  <si>
    <t xml:space="preserve">逐位取模反转；关键是溢出判断（不能依赖 64 位再截断）</t>
  </si>
  <si>
    <t xml:space="preserve">主题进度看板</t>
  </si>
  <si>
    <t xml:space="preserve">（自动统计「进度表」中的状态列）</t>
  </si>
  <si>
    <t xml:space="preserve">题数</t>
  </si>
  <si>
    <t xml:space="preserve">进度</t>
  </si>
  <si>
    <t xml:space="preserve">约需学习日</t>
  </si>
  <si>
    <t xml:space="preserve">合计</t>
  </si>
  <si>
    <t xml:space="preserve">提示：状态列在「进度表」K 列修改，本页自动刷新。</t>
  </si>
  <si>
    <t xml:space="preserve">26 周节奏参考（每周 6 天新题 + 1 天复习）</t>
  </si>
  <si>
    <t xml:space="preserve">周次</t>
  </si>
  <si>
    <t xml:space="preserve">阶段</t>
  </si>
  <si>
    <t xml:space="preserve">本周主题</t>
  </si>
  <si>
    <t xml:space="preserve">本周题量</t>
  </si>
  <si>
    <t xml:space="preserve">复习日重点</t>
  </si>
  <si>
    <t xml:space="preserve">第 1 周</t>
  </si>
  <si>
    <t xml:space="preserve">阶段 1 · 找回手感</t>
  </si>
  <si>
    <t xml:space="preserve">约 8 题</t>
  </si>
  <si>
    <t xml:space="preserve">重做 3Sum 前的所有哈希题，重点练「哈希表存什么」</t>
  </si>
  <si>
    <t xml:space="preserve">第 2 周</t>
  </si>
  <si>
    <t xml:space="preserve">约 5 题</t>
  </si>
  <si>
    <t xml:space="preserve">重做 3Sum（排序+去重模板），这是后面很多题的骨架</t>
  </si>
  <si>
    <t xml:space="preserve">第 3 周</t>
  </si>
  <si>
    <t xml:space="preserve">约 6 题</t>
  </si>
  <si>
    <t xml:space="preserve">默写滑窗模板，重做 424</t>
  </si>
  <si>
    <t xml:space="preserve">第 4 周</t>
  </si>
  <si>
    <t xml:space="preserve">重做 739 单调栈，手写下标入栈顺序</t>
  </si>
  <si>
    <t xml:space="preserve">第 5 周</t>
  </si>
  <si>
    <t xml:space="preserve">阶段 2 · 结构化思维</t>
  </si>
  <si>
    <t xml:space="preserve">默写闭区间二分模板，重做 875（二分答案）</t>
  </si>
  <si>
    <t xml:space="preserve">第 6 周</t>
  </si>
  <si>
    <t xml:space="preserve">约 10 题</t>
  </si>
  <si>
    <t xml:space="preserve">重做 143 重排链表、141 快慢指针</t>
  </si>
  <si>
    <t xml:space="preserve">第 7 周</t>
  </si>
  <si>
    <t xml:space="preserve">约 15 题</t>
  </si>
  <si>
    <t xml:space="preserve">重做 98 验证 BST、102 层序，递归四步法各写一遍</t>
  </si>
  <si>
    <t xml:space="preserve">第 8 周</t>
  </si>
  <si>
    <t xml:space="preserve">阶段 3 · 递归与搜索</t>
  </si>
  <si>
    <t xml:space="preserve">约 2 题</t>
  </si>
  <si>
    <t xml:space="preserve">手写 Trie 的 insert/search 两个函数</t>
  </si>
  <si>
    <t xml:space="preserve">第 9 周</t>
  </si>
  <si>
    <t xml:space="preserve">约 7 题</t>
  </si>
  <si>
    <t xml:space="preserve">重做 215（堆 vs 快速选择）</t>
  </si>
  <si>
    <t xml:space="preserve">第 10 周</t>
  </si>
  <si>
    <t xml:space="preserve">约 9 题</t>
  </si>
  <si>
    <t xml:space="preserve">重做 46 全排列、78 子集，模板必须闭眼写出</t>
  </si>
  <si>
    <t xml:space="preserve">第 11 周</t>
  </si>
  <si>
    <t xml:space="preserve">阶段 4 · 图论</t>
  </si>
  <si>
    <t xml:space="preserve">重做 200 岛屿数量、207 课程表（拓扑排序）</t>
  </si>
  <si>
    <t xml:space="preserve">第 12 周</t>
  </si>
  <si>
    <t xml:space="preserve">约 4 题</t>
  </si>
  <si>
    <t xml:space="preserve">重做 743 最短路模板、684 并查集模板</t>
  </si>
  <si>
    <t xml:space="preserve">第 13 周</t>
  </si>
  <si>
    <t xml:space="preserve">阶段 5 · 动态规划</t>
  </si>
  <si>
    <t xml:space="preserve">约 12 题</t>
  </si>
  <si>
    <t xml:space="preserve">重做 322 零钱兑换，口述「暴力递归 → 记忆化 → 递推」</t>
  </si>
  <si>
    <t xml:space="preserve">第 14 周</t>
  </si>
  <si>
    <t xml:space="preserve">重做 1143 LCS、72 编辑距离，写出二维表</t>
  </si>
  <si>
    <t xml:space="preserve">第 15 周</t>
  </si>
  <si>
    <t xml:space="preserve">阶段 6 · 收尾</t>
  </si>
  <si>
    <t xml:space="preserve">重做 56 合并区间</t>
  </si>
  <si>
    <t xml:space="preserve">第 16 周</t>
  </si>
  <si>
    <t xml:space="preserve">重做 136、338，复习位运算常用技巧</t>
  </si>
  <si>
    <t xml:space="preserve">剩余周次</t>
  </si>
  <si>
    <t xml:space="preserve">缓冲 / 重刷周</t>
  </si>
  <si>
    <t xml:space="preserve">把「需重刷」状态的题全部重做一遍；仍未通过的，用最后一周集中处理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</si>
</sst>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宋体"/>
      <family val="0"/>
      <charset val="134"/>
    </font>
    <font>
      <b val="true"/>
      <sz val="14"/>
      <name val="宋体"/>
      <family val="0"/>
      <charset val="134"/>
    </font>
    <font>
      <i val="true"/>
      <sz val="9"/>
      <color rgb="FF808080"/>
      <name val="宋体"/>
      <family val="0"/>
      <charset val="134"/>
    </font>
    <font>
      <b val="true"/>
      <sz val="11"/>
      <name val="宋体"/>
      <family val="0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4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7" min="7" style="0" width="8.33"/>
    <col collapsed="false" customWidth="true" hidden="false" outlineLevel="0" max="8" min="8" style="0" width="16.89"/>
    <col collapsed="false" customWidth="true" hidden="false" outlineLevel="0" max="9" min="9" style="0" width="12.22"/>
    <col collapsed="false" customWidth="true" hidden="false" outlineLevel="0" max="10" min="10" style="0" width="24.55"/>
    <col collapsed="false" customWidth="true" hidden="false" outlineLevel="0" max="11" min="11" style="0" width="11"/>
    <col collapsed="false" customWidth="true" hidden="false" outlineLevel="0" max="12" min="12" style="0" width="40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4.25" hidden="false" customHeight="true" outlineLevel="0" collapsed="false">
      <c r="A2" s="2" t="n">
        <v>1</v>
      </c>
      <c r="B2" s="2" t="n">
        <v>217</v>
      </c>
      <c r="C2" s="3" t="s">
        <v>12</v>
      </c>
      <c r="D2" s="3" t="s">
        <v>13</v>
      </c>
      <c r="E2" s="3" t="s">
        <v>14</v>
      </c>
      <c r="F2" s="4" t="s">
        <v>15</v>
      </c>
      <c r="G2" s="2"/>
      <c r="H2" s="5" t="n">
        <v>46302</v>
      </c>
      <c r="I2" s="2"/>
      <c r="J2" s="5"/>
      <c r="K2" s="6" t="s">
        <v>16</v>
      </c>
      <c r="L2" s="3" t="s">
        <v>17</v>
      </c>
    </row>
    <row r="3" customFormat="false" ht="14.25" hidden="false" customHeight="true" outlineLevel="0" collapsed="false">
      <c r="A3" s="2" t="n">
        <v>2</v>
      </c>
      <c r="B3" s="2" t="n">
        <v>242</v>
      </c>
      <c r="C3" s="3" t="s">
        <v>12</v>
      </c>
      <c r="D3" s="3" t="s">
        <v>18</v>
      </c>
      <c r="E3" s="3" t="s">
        <v>19</v>
      </c>
      <c r="F3" s="4" t="s">
        <v>15</v>
      </c>
      <c r="G3" s="2"/>
      <c r="H3" s="5" t="n">
        <v>46302</v>
      </c>
      <c r="I3" s="2" t="s">
        <v>20</v>
      </c>
      <c r="J3" s="5"/>
      <c r="K3" s="6" t="s">
        <v>16</v>
      </c>
      <c r="L3" s="3" t="s">
        <v>21</v>
      </c>
    </row>
    <row r="4" customFormat="false" ht="14.25" hidden="false" customHeight="true" outlineLevel="0" collapsed="false">
      <c r="A4" s="2" t="n">
        <v>3</v>
      </c>
      <c r="B4" s="2" t="n">
        <v>1</v>
      </c>
      <c r="C4" s="3" t="s">
        <v>12</v>
      </c>
      <c r="D4" s="3" t="s">
        <v>22</v>
      </c>
      <c r="E4" s="3" t="s">
        <v>23</v>
      </c>
      <c r="F4" s="4" t="s">
        <v>15</v>
      </c>
      <c r="G4" s="2"/>
      <c r="H4" s="5"/>
      <c r="I4" s="2"/>
      <c r="J4" s="5"/>
      <c r="K4" s="6" t="s">
        <v>24</v>
      </c>
      <c r="L4" s="3"/>
    </row>
    <row r="5" customFormat="false" ht="14.25" hidden="false" customHeight="true" outlineLevel="0" collapsed="false">
      <c r="A5" s="2" t="n">
        <v>4</v>
      </c>
      <c r="B5" s="2" t="n">
        <v>49</v>
      </c>
      <c r="C5" s="3" t="s">
        <v>12</v>
      </c>
      <c r="D5" s="3" t="s">
        <v>25</v>
      </c>
      <c r="E5" s="3" t="s">
        <v>26</v>
      </c>
      <c r="F5" s="7" t="s">
        <v>27</v>
      </c>
      <c r="G5" s="2"/>
      <c r="H5" s="5" t="n">
        <v>46302</v>
      </c>
      <c r="I5" s="2" t="s">
        <v>20</v>
      </c>
      <c r="J5" s="5"/>
      <c r="K5" s="6" t="s">
        <v>16</v>
      </c>
      <c r="L5" s="3" t="s">
        <v>28</v>
      </c>
    </row>
    <row r="6" customFormat="false" ht="14.25" hidden="false" customHeight="true" outlineLevel="0" collapsed="false">
      <c r="A6" s="2" t="n">
        <v>5</v>
      </c>
      <c r="B6" s="2" t="n">
        <v>347</v>
      </c>
      <c r="C6" s="3" t="s">
        <v>12</v>
      </c>
      <c r="D6" s="3" t="s">
        <v>29</v>
      </c>
      <c r="E6" s="3" t="s">
        <v>30</v>
      </c>
      <c r="F6" s="7" t="s">
        <v>27</v>
      </c>
      <c r="G6" s="2"/>
      <c r="H6" s="5" t="n">
        <v>46303</v>
      </c>
      <c r="I6" s="2"/>
      <c r="J6" s="5"/>
      <c r="K6" s="6" t="s">
        <v>16</v>
      </c>
      <c r="L6" s="3" t="s">
        <v>31</v>
      </c>
    </row>
    <row r="7" customFormat="false" ht="14.25" hidden="false" customHeight="true" outlineLevel="0" collapsed="false">
      <c r="A7" s="2" t="n">
        <v>6</v>
      </c>
      <c r="B7" s="2" t="n">
        <v>271</v>
      </c>
      <c r="C7" s="3" t="s">
        <v>12</v>
      </c>
      <c r="D7" s="3" t="s">
        <v>32</v>
      </c>
      <c r="E7" s="3" t="s">
        <v>33</v>
      </c>
      <c r="F7" s="7" t="s">
        <v>27</v>
      </c>
      <c r="G7" s="2" t="s">
        <v>34</v>
      </c>
      <c r="H7" s="5" t="n">
        <v>46303</v>
      </c>
      <c r="I7" s="2"/>
      <c r="J7" s="5"/>
      <c r="K7" s="6" t="s">
        <v>35</v>
      </c>
      <c r="L7" s="3" t="s">
        <v>36</v>
      </c>
    </row>
    <row r="8" customFormat="false" ht="14.25" hidden="false" customHeight="true" outlineLevel="0" collapsed="false">
      <c r="A8" s="2" t="n">
        <v>7</v>
      </c>
      <c r="B8" s="2" t="n">
        <v>238</v>
      </c>
      <c r="C8" s="3" t="s">
        <v>12</v>
      </c>
      <c r="D8" s="3" t="s">
        <v>37</v>
      </c>
      <c r="E8" s="3" t="s">
        <v>38</v>
      </c>
      <c r="F8" s="7" t="s">
        <v>27</v>
      </c>
      <c r="G8" s="2"/>
      <c r="H8" s="5" t="n">
        <v>46303</v>
      </c>
      <c r="I8" s="2"/>
      <c r="J8" s="5"/>
      <c r="K8" s="6" t="s">
        <v>16</v>
      </c>
      <c r="L8" s="3" t="s">
        <v>39</v>
      </c>
    </row>
    <row r="9" customFormat="false" ht="14.25" hidden="false" customHeight="true" outlineLevel="0" collapsed="false">
      <c r="A9" s="2" t="n">
        <v>8</v>
      </c>
      <c r="B9" s="2" t="n">
        <v>36</v>
      </c>
      <c r="C9" s="3" t="s">
        <v>12</v>
      </c>
      <c r="D9" s="3" t="s">
        <v>40</v>
      </c>
      <c r="E9" s="3" t="s">
        <v>41</v>
      </c>
      <c r="F9" s="7" t="s">
        <v>27</v>
      </c>
      <c r="G9" s="2"/>
      <c r="H9" s="5" t="n">
        <v>46303</v>
      </c>
      <c r="I9" s="2"/>
      <c r="J9" s="5"/>
      <c r="K9" s="6" t="s">
        <v>16</v>
      </c>
      <c r="L9" s="3" t="s">
        <v>42</v>
      </c>
    </row>
    <row r="10" customFormat="false" ht="14.25" hidden="false" customHeight="true" outlineLevel="0" collapsed="false">
      <c r="A10" s="2" t="n">
        <v>9</v>
      </c>
      <c r="B10" s="2" t="n">
        <v>128</v>
      </c>
      <c r="C10" s="3" t="s">
        <v>12</v>
      </c>
      <c r="D10" s="3" t="s">
        <v>43</v>
      </c>
      <c r="E10" s="3" t="s">
        <v>44</v>
      </c>
      <c r="F10" s="7" t="s">
        <v>27</v>
      </c>
      <c r="G10" s="2"/>
      <c r="H10" s="5" t="n">
        <v>46304</v>
      </c>
      <c r="I10" s="2"/>
      <c r="J10" s="5"/>
      <c r="K10" s="6" t="s">
        <v>45</v>
      </c>
      <c r="L10" s="3" t="s">
        <v>46</v>
      </c>
    </row>
    <row r="11" customFormat="false" ht="14.25" hidden="false" customHeight="true" outlineLevel="0" collapsed="false">
      <c r="A11" s="2" t="n">
        <v>10</v>
      </c>
      <c r="B11" s="2" t="n">
        <v>125</v>
      </c>
      <c r="C11" s="3" t="s">
        <v>47</v>
      </c>
      <c r="D11" s="3" t="s">
        <v>48</v>
      </c>
      <c r="E11" s="3" t="s">
        <v>49</v>
      </c>
      <c r="F11" s="4" t="s">
        <v>15</v>
      </c>
      <c r="G11" s="2"/>
      <c r="H11" s="5" t="n">
        <v>46302</v>
      </c>
      <c r="I11" s="2" t="s">
        <v>50</v>
      </c>
      <c r="J11" s="5" t="n">
        <v>46302</v>
      </c>
      <c r="K11" s="6" t="s">
        <v>16</v>
      </c>
      <c r="L11" s="3" t="s">
        <v>51</v>
      </c>
    </row>
    <row r="12" customFormat="false" ht="14.25" hidden="false" customHeight="true" outlineLevel="0" collapsed="false">
      <c r="A12" s="2" t="n">
        <v>11</v>
      </c>
      <c r="B12" s="2" t="n">
        <v>167</v>
      </c>
      <c r="C12" s="3" t="s">
        <v>47</v>
      </c>
      <c r="D12" s="3" t="s">
        <v>52</v>
      </c>
      <c r="E12" s="3" t="s">
        <v>53</v>
      </c>
      <c r="F12" s="7" t="s">
        <v>27</v>
      </c>
      <c r="G12" s="2"/>
      <c r="H12" s="5"/>
      <c r="I12" s="2"/>
      <c r="J12" s="5"/>
      <c r="K12" s="6" t="s">
        <v>24</v>
      </c>
      <c r="L12" s="3"/>
    </row>
    <row r="13" customFormat="false" ht="14.25" hidden="false" customHeight="true" outlineLevel="0" collapsed="false">
      <c r="A13" s="2" t="n">
        <v>12</v>
      </c>
      <c r="B13" s="2" t="n">
        <v>15</v>
      </c>
      <c r="C13" s="3" t="s">
        <v>47</v>
      </c>
      <c r="D13" s="3" t="s">
        <v>54</v>
      </c>
      <c r="E13" s="3" t="s">
        <v>55</v>
      </c>
      <c r="F13" s="7" t="s">
        <v>27</v>
      </c>
      <c r="G13" s="2"/>
      <c r="H13" s="5" t="n">
        <v>46303</v>
      </c>
      <c r="I13" s="2"/>
      <c r="J13" s="5"/>
      <c r="K13" s="6" t="s">
        <v>16</v>
      </c>
      <c r="L13" s="3" t="s">
        <v>56</v>
      </c>
    </row>
    <row r="14" customFormat="false" ht="14.25" hidden="false" customHeight="true" outlineLevel="0" collapsed="false">
      <c r="A14" s="2" t="n">
        <v>13</v>
      </c>
      <c r="B14" s="2" t="n">
        <v>11</v>
      </c>
      <c r="C14" s="3" t="s">
        <v>47</v>
      </c>
      <c r="D14" s="3" t="s">
        <v>57</v>
      </c>
      <c r="E14" s="3" t="s">
        <v>58</v>
      </c>
      <c r="F14" s="7" t="s">
        <v>27</v>
      </c>
      <c r="G14" s="2"/>
      <c r="H14" s="5" t="n">
        <v>46303</v>
      </c>
      <c r="I14" s="2"/>
      <c r="J14" s="5"/>
      <c r="K14" s="6" t="s">
        <v>16</v>
      </c>
      <c r="L14" s="3" t="s">
        <v>59</v>
      </c>
    </row>
    <row r="15" customFormat="false" ht="14.25" hidden="false" customHeight="true" outlineLevel="0" collapsed="false">
      <c r="A15" s="2" t="n">
        <v>14</v>
      </c>
      <c r="B15" s="2" t="n">
        <v>42</v>
      </c>
      <c r="C15" s="3" t="s">
        <v>47</v>
      </c>
      <c r="D15" s="3" t="s">
        <v>60</v>
      </c>
      <c r="E15" s="3" t="s">
        <v>61</v>
      </c>
      <c r="F15" s="8" t="s">
        <v>62</v>
      </c>
      <c r="G15" s="2"/>
      <c r="H15" s="5"/>
      <c r="I15" s="2"/>
      <c r="J15" s="5"/>
      <c r="K15" s="6" t="s">
        <v>24</v>
      </c>
      <c r="L15" s="3"/>
    </row>
    <row r="16" customFormat="false" ht="14.25" hidden="false" customHeight="true" outlineLevel="0" collapsed="false">
      <c r="A16" s="2" t="n">
        <v>15</v>
      </c>
      <c r="B16" s="2" t="n">
        <v>121</v>
      </c>
      <c r="C16" s="3" t="s">
        <v>63</v>
      </c>
      <c r="D16" s="3" t="s">
        <v>64</v>
      </c>
      <c r="E16" s="3" t="s">
        <v>65</v>
      </c>
      <c r="F16" s="4" t="s">
        <v>15</v>
      </c>
      <c r="G16" s="2"/>
      <c r="H16" s="5"/>
      <c r="I16" s="2"/>
      <c r="J16" s="5"/>
      <c r="K16" s="6" t="s">
        <v>24</v>
      </c>
      <c r="L16" s="3"/>
    </row>
    <row r="17" customFormat="false" ht="14.25" hidden="false" customHeight="true" outlineLevel="0" collapsed="false">
      <c r="A17" s="2" t="n">
        <v>16</v>
      </c>
      <c r="B17" s="2" t="n">
        <v>3</v>
      </c>
      <c r="C17" s="3" t="s">
        <v>63</v>
      </c>
      <c r="D17" s="3" t="s">
        <v>66</v>
      </c>
      <c r="E17" s="3" t="s">
        <v>67</v>
      </c>
      <c r="F17" s="7" t="s">
        <v>27</v>
      </c>
      <c r="G17" s="2"/>
      <c r="H17" s="5" t="n">
        <v>46303</v>
      </c>
      <c r="I17" s="2"/>
      <c r="J17" s="5"/>
      <c r="K17" s="6" t="s">
        <v>16</v>
      </c>
      <c r="L17" s="3" t="s">
        <v>68</v>
      </c>
    </row>
    <row r="18" customFormat="false" ht="14.25" hidden="false" customHeight="true" outlineLevel="0" collapsed="false">
      <c r="A18" s="2" t="n">
        <v>17</v>
      </c>
      <c r="B18" s="2" t="n">
        <v>424</v>
      </c>
      <c r="C18" s="3" t="s">
        <v>63</v>
      </c>
      <c r="D18" s="3" t="s">
        <v>69</v>
      </c>
      <c r="E18" s="3" t="s">
        <v>70</v>
      </c>
      <c r="F18" s="7" t="s">
        <v>27</v>
      </c>
      <c r="G18" s="2"/>
      <c r="H18" s="5"/>
      <c r="I18" s="2"/>
      <c r="J18" s="5"/>
      <c r="K18" s="6" t="s">
        <v>24</v>
      </c>
      <c r="L18" s="3"/>
    </row>
    <row r="19" customFormat="false" ht="14.25" hidden="false" customHeight="true" outlineLevel="0" collapsed="false">
      <c r="A19" s="2" t="n">
        <v>18</v>
      </c>
      <c r="B19" s="2" t="n">
        <v>567</v>
      </c>
      <c r="C19" s="3" t="s">
        <v>63</v>
      </c>
      <c r="D19" s="3" t="s">
        <v>71</v>
      </c>
      <c r="E19" s="3" t="s">
        <v>72</v>
      </c>
      <c r="F19" s="7" t="s">
        <v>27</v>
      </c>
      <c r="G19" s="2"/>
      <c r="H19" s="5"/>
      <c r="I19" s="2"/>
      <c r="J19" s="5"/>
      <c r="K19" s="6" t="s">
        <v>24</v>
      </c>
      <c r="L19" s="3"/>
    </row>
    <row r="20" customFormat="false" ht="14.25" hidden="false" customHeight="true" outlineLevel="0" collapsed="false">
      <c r="A20" s="2" t="n">
        <v>19</v>
      </c>
      <c r="B20" s="2" t="n">
        <v>76</v>
      </c>
      <c r="C20" s="3" t="s">
        <v>63</v>
      </c>
      <c r="D20" s="3" t="s">
        <v>73</v>
      </c>
      <c r="E20" s="3" t="s">
        <v>74</v>
      </c>
      <c r="F20" s="8" t="s">
        <v>62</v>
      </c>
      <c r="G20" s="2"/>
      <c r="H20" s="5"/>
      <c r="I20" s="2"/>
      <c r="J20" s="5"/>
      <c r="K20" s="6" t="s">
        <v>24</v>
      </c>
      <c r="L20" s="3"/>
    </row>
    <row r="21" customFormat="false" ht="14.25" hidden="false" customHeight="true" outlineLevel="0" collapsed="false">
      <c r="A21" s="2" t="n">
        <v>20</v>
      </c>
      <c r="B21" s="2" t="n">
        <v>239</v>
      </c>
      <c r="C21" s="3" t="s">
        <v>63</v>
      </c>
      <c r="D21" s="3" t="s">
        <v>75</v>
      </c>
      <c r="E21" s="3" t="s">
        <v>76</v>
      </c>
      <c r="F21" s="8" t="s">
        <v>62</v>
      </c>
      <c r="G21" s="2"/>
      <c r="H21" s="5"/>
      <c r="I21" s="2"/>
      <c r="J21" s="5"/>
      <c r="K21" s="6" t="s">
        <v>24</v>
      </c>
      <c r="L21" s="3"/>
    </row>
    <row r="22" customFormat="false" ht="14.25" hidden="false" customHeight="true" outlineLevel="0" collapsed="false">
      <c r="A22" s="2" t="n">
        <v>21</v>
      </c>
      <c r="B22" s="2" t="n">
        <v>20</v>
      </c>
      <c r="C22" s="3" t="s">
        <v>77</v>
      </c>
      <c r="D22" s="3" t="s">
        <v>78</v>
      </c>
      <c r="E22" s="3" t="s">
        <v>79</v>
      </c>
      <c r="F22" s="4" t="s">
        <v>15</v>
      </c>
      <c r="G22" s="2"/>
      <c r="H22" s="5"/>
      <c r="I22" s="2"/>
      <c r="J22" s="5"/>
      <c r="K22" s="6" t="s">
        <v>24</v>
      </c>
      <c r="L22" s="3"/>
    </row>
    <row r="23" customFormat="false" ht="14.25" hidden="false" customHeight="true" outlineLevel="0" collapsed="false">
      <c r="A23" s="2" t="n">
        <v>22</v>
      </c>
      <c r="B23" s="2" t="n">
        <v>155</v>
      </c>
      <c r="C23" s="3" t="s">
        <v>77</v>
      </c>
      <c r="D23" s="3" t="s">
        <v>80</v>
      </c>
      <c r="E23" s="3" t="s">
        <v>81</v>
      </c>
      <c r="F23" s="7" t="s">
        <v>27</v>
      </c>
      <c r="G23" s="2"/>
      <c r="H23" s="5"/>
      <c r="I23" s="2"/>
      <c r="J23" s="5"/>
      <c r="K23" s="6" t="s">
        <v>24</v>
      </c>
      <c r="L23" s="3"/>
    </row>
    <row r="24" customFormat="false" ht="14.25" hidden="false" customHeight="true" outlineLevel="0" collapsed="false">
      <c r="A24" s="2" t="n">
        <v>23</v>
      </c>
      <c r="B24" s="2" t="n">
        <v>150</v>
      </c>
      <c r="C24" s="3" t="s">
        <v>77</v>
      </c>
      <c r="D24" s="3" t="s">
        <v>82</v>
      </c>
      <c r="E24" s="3" t="s">
        <v>83</v>
      </c>
      <c r="F24" s="7" t="s">
        <v>27</v>
      </c>
      <c r="G24" s="2"/>
      <c r="H24" s="5"/>
      <c r="I24" s="2"/>
      <c r="J24" s="5"/>
      <c r="K24" s="6" t="s">
        <v>24</v>
      </c>
      <c r="L24" s="3"/>
    </row>
    <row r="25" customFormat="false" ht="14.25" hidden="false" customHeight="true" outlineLevel="0" collapsed="false">
      <c r="A25" s="2" t="n">
        <v>24</v>
      </c>
      <c r="B25" s="2" t="n">
        <v>739</v>
      </c>
      <c r="C25" s="3" t="s">
        <v>77</v>
      </c>
      <c r="D25" s="3" t="s">
        <v>84</v>
      </c>
      <c r="E25" s="3" t="s">
        <v>85</v>
      </c>
      <c r="F25" s="7" t="s">
        <v>27</v>
      </c>
      <c r="G25" s="2"/>
      <c r="H25" s="5"/>
      <c r="I25" s="2"/>
      <c r="J25" s="5"/>
      <c r="K25" s="6" t="s">
        <v>24</v>
      </c>
      <c r="L25" s="3"/>
    </row>
    <row r="26" customFormat="false" ht="14.25" hidden="false" customHeight="true" outlineLevel="0" collapsed="false">
      <c r="A26" s="2" t="n">
        <v>25</v>
      </c>
      <c r="B26" s="2" t="n">
        <v>853</v>
      </c>
      <c r="C26" s="3" t="s">
        <v>77</v>
      </c>
      <c r="D26" s="3" t="s">
        <v>86</v>
      </c>
      <c r="E26" s="3" t="s">
        <v>87</v>
      </c>
      <c r="F26" s="7" t="s">
        <v>27</v>
      </c>
      <c r="G26" s="2"/>
      <c r="H26" s="5"/>
      <c r="I26" s="2"/>
      <c r="J26" s="5"/>
      <c r="K26" s="6" t="s">
        <v>24</v>
      </c>
      <c r="L26" s="3"/>
    </row>
    <row r="27" customFormat="false" ht="14.25" hidden="false" customHeight="true" outlineLevel="0" collapsed="false">
      <c r="A27" s="2" t="n">
        <v>26</v>
      </c>
      <c r="B27" s="2" t="n">
        <v>84</v>
      </c>
      <c r="C27" s="3" t="s">
        <v>77</v>
      </c>
      <c r="D27" s="3" t="s">
        <v>88</v>
      </c>
      <c r="E27" s="3" t="s">
        <v>89</v>
      </c>
      <c r="F27" s="8" t="s">
        <v>62</v>
      </c>
      <c r="G27" s="2"/>
      <c r="H27" s="5"/>
      <c r="I27" s="2"/>
      <c r="J27" s="5"/>
      <c r="K27" s="6" t="s">
        <v>24</v>
      </c>
      <c r="L27" s="3"/>
    </row>
    <row r="28" customFormat="false" ht="14.25" hidden="false" customHeight="true" outlineLevel="0" collapsed="false">
      <c r="A28" s="2" t="n">
        <v>27</v>
      </c>
      <c r="B28" s="2" t="n">
        <v>704</v>
      </c>
      <c r="C28" s="3" t="s">
        <v>90</v>
      </c>
      <c r="D28" s="3" t="s">
        <v>90</v>
      </c>
      <c r="E28" s="3" t="s">
        <v>91</v>
      </c>
      <c r="F28" s="4" t="s">
        <v>15</v>
      </c>
      <c r="G28" s="2"/>
      <c r="H28" s="5"/>
      <c r="I28" s="2"/>
      <c r="J28" s="5"/>
      <c r="K28" s="6" t="s">
        <v>24</v>
      </c>
      <c r="L28" s="3"/>
    </row>
    <row r="29" customFormat="false" ht="14.25" hidden="false" customHeight="true" outlineLevel="0" collapsed="false">
      <c r="A29" s="2" t="n">
        <v>28</v>
      </c>
      <c r="B29" s="2" t="n">
        <v>74</v>
      </c>
      <c r="C29" s="3" t="s">
        <v>90</v>
      </c>
      <c r="D29" s="3" t="s">
        <v>92</v>
      </c>
      <c r="E29" s="3" t="s">
        <v>93</v>
      </c>
      <c r="F29" s="7" t="s">
        <v>27</v>
      </c>
      <c r="G29" s="2"/>
      <c r="H29" s="5"/>
      <c r="I29" s="2"/>
      <c r="J29" s="5"/>
      <c r="K29" s="6" t="s">
        <v>24</v>
      </c>
      <c r="L29" s="3"/>
    </row>
    <row r="30" customFormat="false" ht="14.25" hidden="false" customHeight="true" outlineLevel="0" collapsed="false">
      <c r="A30" s="2" t="n">
        <v>29</v>
      </c>
      <c r="B30" s="2" t="n">
        <v>875</v>
      </c>
      <c r="C30" s="3" t="s">
        <v>90</v>
      </c>
      <c r="D30" s="3" t="s">
        <v>94</v>
      </c>
      <c r="E30" s="3" t="s">
        <v>95</v>
      </c>
      <c r="F30" s="7" t="s">
        <v>27</v>
      </c>
      <c r="G30" s="2"/>
      <c r="H30" s="5"/>
      <c r="I30" s="2"/>
      <c r="J30" s="5"/>
      <c r="K30" s="6" t="s">
        <v>24</v>
      </c>
      <c r="L30" s="3"/>
    </row>
    <row r="31" customFormat="false" ht="14.25" hidden="false" customHeight="true" outlineLevel="0" collapsed="false">
      <c r="A31" s="2" t="n">
        <v>30</v>
      </c>
      <c r="B31" s="2" t="n">
        <v>153</v>
      </c>
      <c r="C31" s="3" t="s">
        <v>90</v>
      </c>
      <c r="D31" s="3" t="s">
        <v>96</v>
      </c>
      <c r="E31" s="3" t="s">
        <v>97</v>
      </c>
      <c r="F31" s="7" t="s">
        <v>27</v>
      </c>
      <c r="G31" s="2"/>
      <c r="H31" s="5"/>
      <c r="I31" s="2"/>
      <c r="J31" s="5"/>
      <c r="K31" s="6" t="s">
        <v>24</v>
      </c>
      <c r="L31" s="3"/>
    </row>
    <row r="32" customFormat="false" ht="14.25" hidden="false" customHeight="true" outlineLevel="0" collapsed="false">
      <c r="A32" s="2" t="n">
        <v>31</v>
      </c>
      <c r="B32" s="2" t="n">
        <v>33</v>
      </c>
      <c r="C32" s="3" t="s">
        <v>90</v>
      </c>
      <c r="D32" s="3" t="s">
        <v>98</v>
      </c>
      <c r="E32" s="3" t="s">
        <v>99</v>
      </c>
      <c r="F32" s="7" t="s">
        <v>27</v>
      </c>
      <c r="G32" s="2"/>
      <c r="H32" s="5"/>
      <c r="I32" s="2"/>
      <c r="J32" s="5"/>
      <c r="K32" s="6" t="s">
        <v>24</v>
      </c>
      <c r="L32" s="3"/>
    </row>
    <row r="33" customFormat="false" ht="14.25" hidden="false" customHeight="true" outlineLevel="0" collapsed="false">
      <c r="A33" s="2" t="n">
        <v>32</v>
      </c>
      <c r="B33" s="2" t="n">
        <v>981</v>
      </c>
      <c r="C33" s="3" t="s">
        <v>90</v>
      </c>
      <c r="D33" s="3" t="s">
        <v>100</v>
      </c>
      <c r="E33" s="3" t="s">
        <v>101</v>
      </c>
      <c r="F33" s="7" t="s">
        <v>27</v>
      </c>
      <c r="G33" s="2" t="s">
        <v>34</v>
      </c>
      <c r="H33" s="5"/>
      <c r="I33" s="2"/>
      <c r="J33" s="5"/>
      <c r="K33" s="6" t="s">
        <v>24</v>
      </c>
      <c r="L33" s="3"/>
    </row>
    <row r="34" customFormat="false" ht="14.25" hidden="false" customHeight="true" outlineLevel="0" collapsed="false">
      <c r="A34" s="2" t="n">
        <v>33</v>
      </c>
      <c r="B34" s="2" t="n">
        <v>4</v>
      </c>
      <c r="C34" s="3" t="s">
        <v>90</v>
      </c>
      <c r="D34" s="3" t="s">
        <v>102</v>
      </c>
      <c r="E34" s="3" t="s">
        <v>103</v>
      </c>
      <c r="F34" s="8" t="s">
        <v>62</v>
      </c>
      <c r="G34" s="2" t="s">
        <v>34</v>
      </c>
      <c r="H34" s="5" t="n">
        <v>46303</v>
      </c>
      <c r="I34" s="2"/>
      <c r="J34" s="5"/>
      <c r="K34" s="6" t="s">
        <v>16</v>
      </c>
      <c r="L34" s="3" t="s">
        <v>104</v>
      </c>
    </row>
    <row r="35" customFormat="false" ht="14.25" hidden="false" customHeight="true" outlineLevel="0" collapsed="false">
      <c r="A35" s="2" t="n">
        <v>34</v>
      </c>
      <c r="B35" s="2" t="n">
        <v>206</v>
      </c>
      <c r="C35" s="3" t="s">
        <v>105</v>
      </c>
      <c r="D35" s="3" t="s">
        <v>106</v>
      </c>
      <c r="E35" s="3" t="s">
        <v>107</v>
      </c>
      <c r="F35" s="4" t="s">
        <v>15</v>
      </c>
      <c r="G35" s="2"/>
      <c r="H35" s="5"/>
      <c r="I35" s="2"/>
      <c r="J35" s="5"/>
      <c r="K35" s="6" t="s">
        <v>24</v>
      </c>
      <c r="L35" s="3"/>
    </row>
    <row r="36" customFormat="false" ht="14.25" hidden="false" customHeight="true" outlineLevel="0" collapsed="false">
      <c r="A36" s="2" t="n">
        <v>35</v>
      </c>
      <c r="B36" s="2" t="n">
        <v>21</v>
      </c>
      <c r="C36" s="3" t="s">
        <v>105</v>
      </c>
      <c r="D36" s="3" t="s">
        <v>108</v>
      </c>
      <c r="E36" s="3" t="s">
        <v>109</v>
      </c>
      <c r="F36" s="4" t="s">
        <v>15</v>
      </c>
      <c r="G36" s="2"/>
      <c r="H36" s="5" t="n">
        <v>46303</v>
      </c>
      <c r="I36" s="2"/>
      <c r="J36" s="5"/>
      <c r="K36" s="6" t="s">
        <v>16</v>
      </c>
      <c r="L36" s="3" t="s">
        <v>110</v>
      </c>
    </row>
    <row r="37" customFormat="false" ht="14.25" hidden="false" customHeight="true" outlineLevel="0" collapsed="false">
      <c r="A37" s="2" t="n">
        <v>36</v>
      </c>
      <c r="B37" s="2" t="n">
        <v>143</v>
      </c>
      <c r="C37" s="3" t="s">
        <v>105</v>
      </c>
      <c r="D37" s="3" t="s">
        <v>111</v>
      </c>
      <c r="E37" s="3" t="s">
        <v>112</v>
      </c>
      <c r="F37" s="7" t="s">
        <v>27</v>
      </c>
      <c r="G37" s="2"/>
      <c r="H37" s="5"/>
      <c r="I37" s="2"/>
      <c r="J37" s="5"/>
      <c r="K37" s="6" t="s">
        <v>24</v>
      </c>
      <c r="L37" s="3"/>
    </row>
    <row r="38" customFormat="false" ht="14.25" hidden="false" customHeight="true" outlineLevel="0" collapsed="false">
      <c r="A38" s="2" t="n">
        <v>37</v>
      </c>
      <c r="B38" s="2" t="n">
        <v>19</v>
      </c>
      <c r="C38" s="3" t="s">
        <v>105</v>
      </c>
      <c r="D38" s="3" t="s">
        <v>113</v>
      </c>
      <c r="E38" s="3" t="s">
        <v>114</v>
      </c>
      <c r="F38" s="7" t="s">
        <v>27</v>
      </c>
      <c r="G38" s="2"/>
      <c r="H38" s="5" t="n">
        <v>46303</v>
      </c>
      <c r="I38" s="2"/>
      <c r="J38" s="5"/>
      <c r="K38" s="6" t="s">
        <v>16</v>
      </c>
      <c r="L38" s="3" t="s">
        <v>115</v>
      </c>
    </row>
    <row r="39" customFormat="false" ht="14.25" hidden="false" customHeight="true" outlineLevel="0" collapsed="false">
      <c r="A39" s="2" t="n">
        <v>38</v>
      </c>
      <c r="B39" s="2" t="n">
        <v>138</v>
      </c>
      <c r="C39" s="3" t="s">
        <v>105</v>
      </c>
      <c r="D39" s="3" t="s">
        <v>116</v>
      </c>
      <c r="E39" s="3" t="s">
        <v>117</v>
      </c>
      <c r="F39" s="7" t="s">
        <v>27</v>
      </c>
      <c r="G39" s="2"/>
      <c r="H39" s="5"/>
      <c r="I39" s="2"/>
      <c r="J39" s="5"/>
      <c r="K39" s="6" t="s">
        <v>24</v>
      </c>
      <c r="L39" s="3"/>
    </row>
    <row r="40" customFormat="false" ht="14.25" hidden="false" customHeight="true" outlineLevel="0" collapsed="false">
      <c r="A40" s="2" t="n">
        <v>39</v>
      </c>
      <c r="B40" s="2" t="n">
        <v>2</v>
      </c>
      <c r="C40" s="3" t="s">
        <v>105</v>
      </c>
      <c r="D40" s="3" t="s">
        <v>118</v>
      </c>
      <c r="E40" s="3" t="s">
        <v>119</v>
      </c>
      <c r="F40" s="7" t="s">
        <v>27</v>
      </c>
      <c r="G40" s="2"/>
      <c r="H40" s="5" t="n">
        <v>46303</v>
      </c>
      <c r="I40" s="2"/>
      <c r="J40" s="5"/>
      <c r="K40" s="6" t="s">
        <v>16</v>
      </c>
      <c r="L40" s="3" t="s">
        <v>120</v>
      </c>
    </row>
    <row r="41" customFormat="false" ht="14.25" hidden="false" customHeight="true" outlineLevel="0" collapsed="false">
      <c r="A41" s="2" t="n">
        <v>40</v>
      </c>
      <c r="B41" s="2" t="n">
        <v>141</v>
      </c>
      <c r="C41" s="3" t="s">
        <v>105</v>
      </c>
      <c r="D41" s="3" t="s">
        <v>121</v>
      </c>
      <c r="E41" s="3" t="s">
        <v>122</v>
      </c>
      <c r="F41" s="4" t="s">
        <v>15</v>
      </c>
      <c r="G41" s="2"/>
      <c r="H41" s="5"/>
      <c r="I41" s="2"/>
      <c r="J41" s="5"/>
      <c r="K41" s="6" t="s">
        <v>24</v>
      </c>
      <c r="L41" s="3"/>
    </row>
    <row r="42" customFormat="false" ht="14.25" hidden="false" customHeight="true" outlineLevel="0" collapsed="false">
      <c r="A42" s="2" t="n">
        <v>41</v>
      </c>
      <c r="B42" s="2" t="n">
        <v>287</v>
      </c>
      <c r="C42" s="3" t="s">
        <v>105</v>
      </c>
      <c r="D42" s="3" t="s">
        <v>123</v>
      </c>
      <c r="E42" s="3" t="s">
        <v>124</v>
      </c>
      <c r="F42" s="7" t="s">
        <v>27</v>
      </c>
      <c r="G42" s="2"/>
      <c r="H42" s="5"/>
      <c r="I42" s="2"/>
      <c r="J42" s="5"/>
      <c r="K42" s="6" t="s">
        <v>24</v>
      </c>
      <c r="L42" s="3"/>
    </row>
    <row r="43" customFormat="false" ht="14.25" hidden="false" customHeight="true" outlineLevel="0" collapsed="false">
      <c r="A43" s="2" t="n">
        <v>42</v>
      </c>
      <c r="B43" s="2" t="n">
        <v>146</v>
      </c>
      <c r="C43" s="3" t="s">
        <v>105</v>
      </c>
      <c r="D43" s="3" t="s">
        <v>125</v>
      </c>
      <c r="E43" s="3" t="s">
        <v>126</v>
      </c>
      <c r="F43" s="7" t="s">
        <v>27</v>
      </c>
      <c r="G43" s="2"/>
      <c r="H43" s="5"/>
      <c r="I43" s="2"/>
      <c r="J43" s="5"/>
      <c r="K43" s="6" t="s">
        <v>24</v>
      </c>
      <c r="L43" s="3"/>
    </row>
    <row r="44" customFormat="false" ht="14.25" hidden="false" customHeight="true" outlineLevel="0" collapsed="false">
      <c r="A44" s="2" t="n">
        <v>43</v>
      </c>
      <c r="B44" s="2" t="n">
        <v>23</v>
      </c>
      <c r="C44" s="3" t="s">
        <v>105</v>
      </c>
      <c r="D44" s="3" t="s">
        <v>127</v>
      </c>
      <c r="E44" s="3" t="s">
        <v>128</v>
      </c>
      <c r="F44" s="8" t="s">
        <v>62</v>
      </c>
      <c r="G44" s="2"/>
      <c r="H44" s="5" t="n">
        <v>46303</v>
      </c>
      <c r="I44" s="2"/>
      <c r="J44" s="5"/>
      <c r="K44" s="6" t="s">
        <v>16</v>
      </c>
      <c r="L44" s="3" t="s">
        <v>129</v>
      </c>
    </row>
    <row r="45" customFormat="false" ht="14.25" hidden="false" customHeight="true" outlineLevel="0" collapsed="false">
      <c r="A45" s="2" t="n">
        <v>44</v>
      </c>
      <c r="B45" s="2" t="n">
        <v>25</v>
      </c>
      <c r="C45" s="3" t="s">
        <v>105</v>
      </c>
      <c r="D45" s="3" t="s">
        <v>130</v>
      </c>
      <c r="E45" s="3" t="s">
        <v>131</v>
      </c>
      <c r="F45" s="8" t="s">
        <v>62</v>
      </c>
      <c r="G45" s="2" t="s">
        <v>34</v>
      </c>
      <c r="H45" s="5" t="n">
        <v>46303</v>
      </c>
      <c r="I45" s="2"/>
      <c r="J45" s="5"/>
      <c r="K45" s="6" t="s">
        <v>16</v>
      </c>
      <c r="L45" s="3" t="s">
        <v>132</v>
      </c>
    </row>
    <row r="46" customFormat="false" ht="14.25" hidden="false" customHeight="true" outlineLevel="0" collapsed="false">
      <c r="A46" s="2" t="n">
        <v>45</v>
      </c>
      <c r="B46" s="2" t="n">
        <v>226</v>
      </c>
      <c r="C46" s="3" t="s">
        <v>133</v>
      </c>
      <c r="D46" s="3" t="s">
        <v>134</v>
      </c>
      <c r="E46" s="3" t="s">
        <v>135</v>
      </c>
      <c r="F46" s="4" t="s">
        <v>15</v>
      </c>
      <c r="G46" s="2"/>
      <c r="H46" s="5"/>
      <c r="I46" s="2"/>
      <c r="J46" s="5"/>
      <c r="K46" s="6" t="s">
        <v>24</v>
      </c>
      <c r="L46" s="3"/>
    </row>
    <row r="47" customFormat="false" ht="14.25" hidden="false" customHeight="true" outlineLevel="0" collapsed="false">
      <c r="A47" s="2" t="n">
        <v>46</v>
      </c>
      <c r="B47" s="2" t="n">
        <v>104</v>
      </c>
      <c r="C47" s="3" t="s">
        <v>133</v>
      </c>
      <c r="D47" s="3" t="s">
        <v>136</v>
      </c>
      <c r="E47" s="3" t="s">
        <v>137</v>
      </c>
      <c r="F47" s="4" t="s">
        <v>15</v>
      </c>
      <c r="G47" s="2"/>
      <c r="H47" s="5"/>
      <c r="I47" s="2"/>
      <c r="J47" s="5"/>
      <c r="K47" s="6" t="s">
        <v>24</v>
      </c>
      <c r="L47" s="3"/>
    </row>
    <row r="48" customFormat="false" ht="14.25" hidden="false" customHeight="true" outlineLevel="0" collapsed="false">
      <c r="A48" s="2" t="n">
        <v>47</v>
      </c>
      <c r="B48" s="2" t="n">
        <v>543</v>
      </c>
      <c r="C48" s="3" t="s">
        <v>133</v>
      </c>
      <c r="D48" s="3" t="s">
        <v>138</v>
      </c>
      <c r="E48" s="3" t="s">
        <v>139</v>
      </c>
      <c r="F48" s="4" t="s">
        <v>15</v>
      </c>
      <c r="G48" s="2"/>
      <c r="H48" s="5"/>
      <c r="I48" s="2"/>
      <c r="J48" s="5"/>
      <c r="K48" s="6" t="s">
        <v>24</v>
      </c>
      <c r="L48" s="3"/>
    </row>
    <row r="49" customFormat="false" ht="14.25" hidden="false" customHeight="true" outlineLevel="0" collapsed="false">
      <c r="A49" s="2" t="n">
        <v>48</v>
      </c>
      <c r="B49" s="2" t="n">
        <v>110</v>
      </c>
      <c r="C49" s="3" t="s">
        <v>133</v>
      </c>
      <c r="D49" s="3" t="s">
        <v>140</v>
      </c>
      <c r="E49" s="3" t="s">
        <v>141</v>
      </c>
      <c r="F49" s="4" t="s">
        <v>15</v>
      </c>
      <c r="G49" s="2"/>
      <c r="H49" s="5"/>
      <c r="I49" s="2"/>
      <c r="J49" s="5"/>
      <c r="K49" s="6" t="s">
        <v>24</v>
      </c>
      <c r="L49" s="3"/>
    </row>
    <row r="50" customFormat="false" ht="14.25" hidden="false" customHeight="true" outlineLevel="0" collapsed="false">
      <c r="A50" s="2" t="n">
        <v>49</v>
      </c>
      <c r="B50" s="2" t="n">
        <v>100</v>
      </c>
      <c r="C50" s="3" t="s">
        <v>133</v>
      </c>
      <c r="D50" s="3" t="s">
        <v>142</v>
      </c>
      <c r="E50" s="3" t="s">
        <v>143</v>
      </c>
      <c r="F50" s="4" t="s">
        <v>15</v>
      </c>
      <c r="G50" s="2"/>
      <c r="H50" s="5"/>
      <c r="I50" s="2"/>
      <c r="J50" s="5"/>
      <c r="K50" s="6" t="s">
        <v>24</v>
      </c>
      <c r="L50" s="3"/>
    </row>
    <row r="51" customFormat="false" ht="14.25" hidden="false" customHeight="true" outlineLevel="0" collapsed="false">
      <c r="A51" s="2" t="n">
        <v>50</v>
      </c>
      <c r="B51" s="2" t="n">
        <v>572</v>
      </c>
      <c r="C51" s="3" t="s">
        <v>133</v>
      </c>
      <c r="D51" s="3" t="s">
        <v>144</v>
      </c>
      <c r="E51" s="3" t="s">
        <v>145</v>
      </c>
      <c r="F51" s="4" t="s">
        <v>15</v>
      </c>
      <c r="G51" s="2"/>
      <c r="H51" s="5"/>
      <c r="I51" s="2"/>
      <c r="J51" s="5"/>
      <c r="K51" s="6" t="s">
        <v>24</v>
      </c>
      <c r="L51" s="3"/>
    </row>
    <row r="52" customFormat="false" ht="14.25" hidden="false" customHeight="true" outlineLevel="0" collapsed="false">
      <c r="A52" s="2" t="n">
        <v>51</v>
      </c>
      <c r="B52" s="2" t="n">
        <v>235</v>
      </c>
      <c r="C52" s="3" t="s">
        <v>133</v>
      </c>
      <c r="D52" s="3" t="s">
        <v>146</v>
      </c>
      <c r="E52" s="3" t="s">
        <v>147</v>
      </c>
      <c r="F52" s="7" t="s">
        <v>27</v>
      </c>
      <c r="G52" s="2"/>
      <c r="H52" s="5"/>
      <c r="I52" s="2"/>
      <c r="J52" s="5"/>
      <c r="K52" s="6" t="s">
        <v>24</v>
      </c>
      <c r="L52" s="3"/>
    </row>
    <row r="53" customFormat="false" ht="14.25" hidden="false" customHeight="true" outlineLevel="0" collapsed="false">
      <c r="A53" s="2" t="n">
        <v>52</v>
      </c>
      <c r="B53" s="2" t="n">
        <v>102</v>
      </c>
      <c r="C53" s="3" t="s">
        <v>133</v>
      </c>
      <c r="D53" s="3" t="s">
        <v>148</v>
      </c>
      <c r="E53" s="3" t="s">
        <v>149</v>
      </c>
      <c r="F53" s="7" t="s">
        <v>27</v>
      </c>
      <c r="G53" s="2"/>
      <c r="H53" s="5"/>
      <c r="I53" s="2"/>
      <c r="J53" s="5"/>
      <c r="K53" s="6" t="s">
        <v>24</v>
      </c>
      <c r="L53" s="3"/>
    </row>
    <row r="54" customFormat="false" ht="14.25" hidden="false" customHeight="true" outlineLevel="0" collapsed="false">
      <c r="A54" s="2" t="n">
        <v>53</v>
      </c>
      <c r="B54" s="2" t="n">
        <v>199</v>
      </c>
      <c r="C54" s="3" t="s">
        <v>133</v>
      </c>
      <c r="D54" s="3" t="s">
        <v>150</v>
      </c>
      <c r="E54" s="3" t="s">
        <v>151</v>
      </c>
      <c r="F54" s="7" t="s">
        <v>27</v>
      </c>
      <c r="G54" s="2"/>
      <c r="H54" s="5"/>
      <c r="I54" s="2"/>
      <c r="J54" s="5"/>
      <c r="K54" s="6" t="s">
        <v>24</v>
      </c>
      <c r="L54" s="3"/>
    </row>
    <row r="55" customFormat="false" ht="14.25" hidden="false" customHeight="true" outlineLevel="0" collapsed="false">
      <c r="A55" s="2" t="n">
        <v>54</v>
      </c>
      <c r="B55" s="2" t="n">
        <v>1448</v>
      </c>
      <c r="C55" s="3" t="s">
        <v>133</v>
      </c>
      <c r="D55" s="3" t="s">
        <v>152</v>
      </c>
      <c r="E55" s="3" t="s">
        <v>153</v>
      </c>
      <c r="F55" s="7" t="s">
        <v>27</v>
      </c>
      <c r="G55" s="2"/>
      <c r="H55" s="5"/>
      <c r="I55" s="2"/>
      <c r="J55" s="5"/>
      <c r="K55" s="6" t="s">
        <v>24</v>
      </c>
      <c r="L55" s="3"/>
    </row>
    <row r="56" customFormat="false" ht="14.25" hidden="false" customHeight="true" outlineLevel="0" collapsed="false">
      <c r="A56" s="2" t="n">
        <v>55</v>
      </c>
      <c r="B56" s="2" t="n">
        <v>98</v>
      </c>
      <c r="C56" s="3" t="s">
        <v>133</v>
      </c>
      <c r="D56" s="3" t="s">
        <v>154</v>
      </c>
      <c r="E56" s="3" t="s">
        <v>155</v>
      </c>
      <c r="F56" s="7" t="s">
        <v>27</v>
      </c>
      <c r="G56" s="2"/>
      <c r="H56" s="5"/>
      <c r="I56" s="2"/>
      <c r="J56" s="5"/>
      <c r="K56" s="6" t="s">
        <v>24</v>
      </c>
      <c r="L56" s="3"/>
    </row>
    <row r="57" customFormat="false" ht="14.25" hidden="false" customHeight="true" outlineLevel="0" collapsed="false">
      <c r="A57" s="2" t="n">
        <v>56</v>
      </c>
      <c r="B57" s="2" t="n">
        <v>230</v>
      </c>
      <c r="C57" s="3" t="s">
        <v>133</v>
      </c>
      <c r="D57" s="3" t="s">
        <v>156</v>
      </c>
      <c r="E57" s="3" t="s">
        <v>157</v>
      </c>
      <c r="F57" s="7" t="s">
        <v>27</v>
      </c>
      <c r="G57" s="2"/>
      <c r="H57" s="5"/>
      <c r="I57" s="2"/>
      <c r="J57" s="5"/>
      <c r="K57" s="6" t="s">
        <v>24</v>
      </c>
      <c r="L57" s="3"/>
    </row>
    <row r="58" customFormat="false" ht="14.25" hidden="false" customHeight="true" outlineLevel="0" collapsed="false">
      <c r="A58" s="2" t="n">
        <v>57</v>
      </c>
      <c r="B58" s="2" t="n">
        <v>105</v>
      </c>
      <c r="C58" s="3" t="s">
        <v>133</v>
      </c>
      <c r="D58" s="3" t="s">
        <v>158</v>
      </c>
      <c r="E58" s="3" t="s">
        <v>159</v>
      </c>
      <c r="F58" s="7" t="s">
        <v>27</v>
      </c>
      <c r="G58" s="2"/>
      <c r="H58" s="5"/>
      <c r="I58" s="2"/>
      <c r="J58" s="5"/>
      <c r="K58" s="6" t="s">
        <v>24</v>
      </c>
      <c r="L58" s="3"/>
    </row>
    <row r="59" customFormat="false" ht="14.25" hidden="false" customHeight="true" outlineLevel="0" collapsed="false">
      <c r="A59" s="2" t="n">
        <v>58</v>
      </c>
      <c r="B59" s="2" t="n">
        <v>124</v>
      </c>
      <c r="C59" s="3" t="s">
        <v>133</v>
      </c>
      <c r="D59" s="3" t="s">
        <v>160</v>
      </c>
      <c r="E59" s="3" t="s">
        <v>161</v>
      </c>
      <c r="F59" s="8" t="s">
        <v>62</v>
      </c>
      <c r="G59" s="2"/>
      <c r="H59" s="5"/>
      <c r="I59" s="2"/>
      <c r="J59" s="5"/>
      <c r="K59" s="6" t="s">
        <v>24</v>
      </c>
      <c r="L59" s="3"/>
    </row>
    <row r="60" customFormat="false" ht="14.25" hidden="false" customHeight="true" outlineLevel="0" collapsed="false">
      <c r="A60" s="2" t="n">
        <v>59</v>
      </c>
      <c r="B60" s="2" t="n">
        <v>297</v>
      </c>
      <c r="C60" s="3" t="s">
        <v>133</v>
      </c>
      <c r="D60" s="3" t="s">
        <v>162</v>
      </c>
      <c r="E60" s="3" t="s">
        <v>163</v>
      </c>
      <c r="F60" s="8" t="s">
        <v>62</v>
      </c>
      <c r="G60" s="2"/>
      <c r="H60" s="5"/>
      <c r="I60" s="2"/>
      <c r="J60" s="5"/>
      <c r="K60" s="6" t="s">
        <v>24</v>
      </c>
      <c r="L60" s="3"/>
    </row>
    <row r="61" customFormat="false" ht="14.25" hidden="false" customHeight="true" outlineLevel="0" collapsed="false">
      <c r="A61" s="2" t="n">
        <v>60</v>
      </c>
      <c r="B61" s="2" t="n">
        <v>208</v>
      </c>
      <c r="C61" s="3" t="s">
        <v>164</v>
      </c>
      <c r="D61" s="3" t="s">
        <v>165</v>
      </c>
      <c r="E61" s="3" t="s">
        <v>166</v>
      </c>
      <c r="F61" s="7" t="s">
        <v>27</v>
      </c>
      <c r="G61" s="2"/>
      <c r="H61" s="5"/>
      <c r="I61" s="2"/>
      <c r="J61" s="5"/>
      <c r="K61" s="6" t="s">
        <v>24</v>
      </c>
      <c r="L61" s="3"/>
    </row>
    <row r="62" customFormat="false" ht="14.25" hidden="false" customHeight="true" outlineLevel="0" collapsed="false">
      <c r="A62" s="2" t="n">
        <v>61</v>
      </c>
      <c r="B62" s="2" t="n">
        <v>211</v>
      </c>
      <c r="C62" s="3" t="s">
        <v>164</v>
      </c>
      <c r="D62" s="3" t="s">
        <v>167</v>
      </c>
      <c r="E62" s="3" t="s">
        <v>168</v>
      </c>
      <c r="F62" s="7" t="s">
        <v>27</v>
      </c>
      <c r="G62" s="2"/>
      <c r="H62" s="5"/>
      <c r="I62" s="2"/>
      <c r="J62" s="5"/>
      <c r="K62" s="6" t="s">
        <v>24</v>
      </c>
      <c r="L62" s="3"/>
    </row>
    <row r="63" customFormat="false" ht="14.25" hidden="false" customHeight="true" outlineLevel="0" collapsed="false">
      <c r="A63" s="2" t="n">
        <v>62</v>
      </c>
      <c r="B63" s="2" t="n">
        <v>212</v>
      </c>
      <c r="C63" s="3" t="s">
        <v>164</v>
      </c>
      <c r="D63" s="3" t="s">
        <v>169</v>
      </c>
      <c r="E63" s="3" t="s">
        <v>170</v>
      </c>
      <c r="F63" s="8" t="s">
        <v>62</v>
      </c>
      <c r="G63" s="2" t="s">
        <v>34</v>
      </c>
      <c r="H63" s="5"/>
      <c r="I63" s="2"/>
      <c r="J63" s="5"/>
      <c r="K63" s="6" t="s">
        <v>24</v>
      </c>
      <c r="L63" s="3"/>
    </row>
    <row r="64" customFormat="false" ht="14.25" hidden="false" customHeight="true" outlineLevel="0" collapsed="false">
      <c r="A64" s="2" t="n">
        <v>63</v>
      </c>
      <c r="B64" s="2" t="n">
        <v>703</v>
      </c>
      <c r="C64" s="3" t="s">
        <v>171</v>
      </c>
      <c r="D64" s="3" t="s">
        <v>172</v>
      </c>
      <c r="E64" s="3" t="s">
        <v>173</v>
      </c>
      <c r="F64" s="4" t="s">
        <v>15</v>
      </c>
      <c r="G64" s="2"/>
      <c r="H64" s="5"/>
      <c r="I64" s="2"/>
      <c r="J64" s="5"/>
      <c r="K64" s="6" t="s">
        <v>24</v>
      </c>
      <c r="L64" s="3"/>
    </row>
    <row r="65" customFormat="false" ht="14.25" hidden="false" customHeight="true" outlineLevel="0" collapsed="false">
      <c r="A65" s="2" t="n">
        <v>64</v>
      </c>
      <c r="B65" s="2" t="n">
        <v>1046</v>
      </c>
      <c r="C65" s="3" t="s">
        <v>171</v>
      </c>
      <c r="D65" s="3" t="s">
        <v>174</v>
      </c>
      <c r="E65" s="3" t="s">
        <v>175</v>
      </c>
      <c r="F65" s="4" t="s">
        <v>15</v>
      </c>
      <c r="G65" s="2"/>
      <c r="H65" s="5"/>
      <c r="I65" s="2"/>
      <c r="J65" s="5"/>
      <c r="K65" s="6" t="s">
        <v>24</v>
      </c>
      <c r="L65" s="3"/>
    </row>
    <row r="66" customFormat="false" ht="14.25" hidden="false" customHeight="true" outlineLevel="0" collapsed="false">
      <c r="A66" s="2" t="n">
        <v>65</v>
      </c>
      <c r="B66" s="2" t="n">
        <v>973</v>
      </c>
      <c r="C66" s="3" t="s">
        <v>171</v>
      </c>
      <c r="D66" s="3" t="s">
        <v>176</v>
      </c>
      <c r="E66" s="3" t="s">
        <v>177</v>
      </c>
      <c r="F66" s="7" t="s">
        <v>27</v>
      </c>
      <c r="G66" s="2"/>
      <c r="H66" s="5"/>
      <c r="I66" s="2"/>
      <c r="J66" s="5"/>
      <c r="K66" s="6" t="s">
        <v>24</v>
      </c>
      <c r="L66" s="3"/>
    </row>
    <row r="67" customFormat="false" ht="14.25" hidden="false" customHeight="true" outlineLevel="0" collapsed="false">
      <c r="A67" s="2" t="n">
        <v>66</v>
      </c>
      <c r="B67" s="2" t="n">
        <v>215</v>
      </c>
      <c r="C67" s="3" t="s">
        <v>171</v>
      </c>
      <c r="D67" s="3" t="s">
        <v>178</v>
      </c>
      <c r="E67" s="3" t="s">
        <v>179</v>
      </c>
      <c r="F67" s="7" t="s">
        <v>27</v>
      </c>
      <c r="G67" s="2"/>
      <c r="H67" s="5"/>
      <c r="I67" s="2"/>
      <c r="J67" s="5"/>
      <c r="K67" s="6" t="s">
        <v>24</v>
      </c>
      <c r="L67" s="3"/>
    </row>
    <row r="68" customFormat="false" ht="14.25" hidden="false" customHeight="true" outlineLevel="0" collapsed="false">
      <c r="A68" s="2" t="n">
        <v>67</v>
      </c>
      <c r="B68" s="2" t="n">
        <v>621</v>
      </c>
      <c r="C68" s="3" t="s">
        <v>171</v>
      </c>
      <c r="D68" s="3" t="s">
        <v>180</v>
      </c>
      <c r="E68" s="3" t="s">
        <v>181</v>
      </c>
      <c r="F68" s="7" t="s">
        <v>27</v>
      </c>
      <c r="G68" s="2"/>
      <c r="H68" s="5"/>
      <c r="I68" s="2"/>
      <c r="J68" s="5"/>
      <c r="K68" s="6" t="s">
        <v>24</v>
      </c>
      <c r="L68" s="3"/>
    </row>
    <row r="69" customFormat="false" ht="14.25" hidden="false" customHeight="true" outlineLevel="0" collapsed="false">
      <c r="A69" s="2" t="n">
        <v>68</v>
      </c>
      <c r="B69" s="2" t="n">
        <v>355</v>
      </c>
      <c r="C69" s="3" t="s">
        <v>171</v>
      </c>
      <c r="D69" s="3" t="s">
        <v>182</v>
      </c>
      <c r="E69" s="3" t="s">
        <v>183</v>
      </c>
      <c r="F69" s="7" t="s">
        <v>27</v>
      </c>
      <c r="G69" s="2"/>
      <c r="H69" s="5"/>
      <c r="I69" s="2"/>
      <c r="J69" s="5"/>
      <c r="K69" s="6" t="s">
        <v>24</v>
      </c>
      <c r="L69" s="3"/>
    </row>
    <row r="70" customFormat="false" ht="14.25" hidden="false" customHeight="true" outlineLevel="0" collapsed="false">
      <c r="A70" s="2" t="n">
        <v>69</v>
      </c>
      <c r="B70" s="2" t="n">
        <v>295</v>
      </c>
      <c r="C70" s="3" t="s">
        <v>171</v>
      </c>
      <c r="D70" s="3" t="s">
        <v>184</v>
      </c>
      <c r="E70" s="3" t="s">
        <v>185</v>
      </c>
      <c r="F70" s="8" t="s">
        <v>62</v>
      </c>
      <c r="G70" s="2"/>
      <c r="H70" s="5"/>
      <c r="I70" s="2"/>
      <c r="J70" s="5"/>
      <c r="K70" s="6" t="s">
        <v>24</v>
      </c>
      <c r="L70" s="3"/>
    </row>
    <row r="71" customFormat="false" ht="14.25" hidden="false" customHeight="true" outlineLevel="0" collapsed="false">
      <c r="A71" s="2" t="n">
        <v>70</v>
      </c>
      <c r="B71" s="2" t="n">
        <v>78</v>
      </c>
      <c r="C71" s="3" t="s">
        <v>186</v>
      </c>
      <c r="D71" s="3" t="s">
        <v>187</v>
      </c>
      <c r="E71" s="3" t="s">
        <v>188</v>
      </c>
      <c r="F71" s="7" t="s">
        <v>27</v>
      </c>
      <c r="G71" s="2"/>
      <c r="H71" s="5"/>
      <c r="I71" s="2"/>
      <c r="J71" s="5"/>
      <c r="K71" s="6" t="s">
        <v>24</v>
      </c>
      <c r="L71" s="3"/>
    </row>
    <row r="72" customFormat="false" ht="14.25" hidden="false" customHeight="true" outlineLevel="0" collapsed="false">
      <c r="A72" s="2" t="n">
        <v>71</v>
      </c>
      <c r="B72" s="2" t="n">
        <v>39</v>
      </c>
      <c r="C72" s="3" t="s">
        <v>186</v>
      </c>
      <c r="D72" s="3" t="s">
        <v>189</v>
      </c>
      <c r="E72" s="3" t="s">
        <v>190</v>
      </c>
      <c r="F72" s="7" t="s">
        <v>27</v>
      </c>
      <c r="G72" s="2"/>
      <c r="H72" s="5"/>
      <c r="I72" s="2"/>
      <c r="J72" s="5"/>
      <c r="K72" s="6" t="s">
        <v>24</v>
      </c>
      <c r="L72" s="3"/>
    </row>
    <row r="73" customFormat="false" ht="14.25" hidden="false" customHeight="true" outlineLevel="0" collapsed="false">
      <c r="A73" s="2" t="n">
        <v>72</v>
      </c>
      <c r="B73" s="2" t="n">
        <v>46</v>
      </c>
      <c r="C73" s="3" t="s">
        <v>186</v>
      </c>
      <c r="D73" s="3" t="s">
        <v>191</v>
      </c>
      <c r="E73" s="3" t="s">
        <v>192</v>
      </c>
      <c r="F73" s="7" t="s">
        <v>27</v>
      </c>
      <c r="G73" s="2"/>
      <c r="H73" s="5"/>
      <c r="I73" s="2"/>
      <c r="J73" s="5"/>
      <c r="K73" s="6" t="s">
        <v>24</v>
      </c>
      <c r="L73" s="3"/>
    </row>
    <row r="74" customFormat="false" ht="14.25" hidden="false" customHeight="true" outlineLevel="0" collapsed="false">
      <c r="A74" s="2" t="n">
        <v>73</v>
      </c>
      <c r="B74" s="2" t="n">
        <v>90</v>
      </c>
      <c r="C74" s="3" t="s">
        <v>186</v>
      </c>
      <c r="D74" s="3" t="s">
        <v>193</v>
      </c>
      <c r="E74" s="3" t="s">
        <v>194</v>
      </c>
      <c r="F74" s="7" t="s">
        <v>27</v>
      </c>
      <c r="G74" s="2"/>
      <c r="H74" s="5"/>
      <c r="I74" s="2"/>
      <c r="J74" s="5"/>
      <c r="K74" s="6" t="s">
        <v>24</v>
      </c>
      <c r="L74" s="3"/>
    </row>
    <row r="75" customFormat="false" ht="14.25" hidden="false" customHeight="true" outlineLevel="0" collapsed="false">
      <c r="A75" s="2" t="n">
        <v>74</v>
      </c>
      <c r="B75" s="2" t="n">
        <v>40</v>
      </c>
      <c r="C75" s="3" t="s">
        <v>186</v>
      </c>
      <c r="D75" s="3" t="s">
        <v>195</v>
      </c>
      <c r="E75" s="3" t="s">
        <v>196</v>
      </c>
      <c r="F75" s="7" t="s">
        <v>27</v>
      </c>
      <c r="G75" s="2"/>
      <c r="H75" s="5"/>
      <c r="I75" s="2"/>
      <c r="J75" s="5"/>
      <c r="K75" s="6" t="s">
        <v>24</v>
      </c>
      <c r="L75" s="3"/>
    </row>
    <row r="76" customFormat="false" ht="14.25" hidden="false" customHeight="true" outlineLevel="0" collapsed="false">
      <c r="A76" s="2" t="n">
        <v>75</v>
      </c>
      <c r="B76" s="2" t="n">
        <v>79</v>
      </c>
      <c r="C76" s="3" t="s">
        <v>186</v>
      </c>
      <c r="D76" s="3" t="s">
        <v>197</v>
      </c>
      <c r="E76" s="3" t="s">
        <v>198</v>
      </c>
      <c r="F76" s="7" t="s">
        <v>27</v>
      </c>
      <c r="G76" s="2"/>
      <c r="H76" s="5"/>
      <c r="I76" s="2"/>
      <c r="J76" s="5"/>
      <c r="K76" s="6" t="s">
        <v>24</v>
      </c>
      <c r="L76" s="3"/>
    </row>
    <row r="77" customFormat="false" ht="14.25" hidden="false" customHeight="true" outlineLevel="0" collapsed="false">
      <c r="A77" s="2" t="n">
        <v>76</v>
      </c>
      <c r="B77" s="2" t="n">
        <v>131</v>
      </c>
      <c r="C77" s="3" t="s">
        <v>186</v>
      </c>
      <c r="D77" s="3" t="s">
        <v>199</v>
      </c>
      <c r="E77" s="3" t="s">
        <v>200</v>
      </c>
      <c r="F77" s="7" t="s">
        <v>27</v>
      </c>
      <c r="G77" s="2"/>
      <c r="H77" s="5"/>
      <c r="I77" s="2"/>
      <c r="J77" s="5"/>
      <c r="K77" s="6" t="s">
        <v>24</v>
      </c>
      <c r="L77" s="3"/>
    </row>
    <row r="78" customFormat="false" ht="14.25" hidden="false" customHeight="true" outlineLevel="0" collapsed="false">
      <c r="A78" s="2" t="n">
        <v>77</v>
      </c>
      <c r="B78" s="2" t="n">
        <v>17</v>
      </c>
      <c r="C78" s="3" t="s">
        <v>186</v>
      </c>
      <c r="D78" s="3" t="s">
        <v>201</v>
      </c>
      <c r="E78" s="3" t="s">
        <v>202</v>
      </c>
      <c r="F78" s="7" t="s">
        <v>27</v>
      </c>
      <c r="G78" s="2"/>
      <c r="H78" s="5" t="n">
        <v>46303</v>
      </c>
      <c r="I78" s="2"/>
      <c r="J78" s="5"/>
      <c r="K78" s="6" t="s">
        <v>16</v>
      </c>
      <c r="L78" s="3" t="s">
        <v>203</v>
      </c>
    </row>
    <row r="79" customFormat="false" ht="14.25" hidden="false" customHeight="true" outlineLevel="0" collapsed="false">
      <c r="A79" s="2" t="n">
        <v>78</v>
      </c>
      <c r="B79" s="2" t="n">
        <v>51</v>
      </c>
      <c r="C79" s="3" t="s">
        <v>186</v>
      </c>
      <c r="D79" s="3" t="s">
        <v>204</v>
      </c>
      <c r="E79" s="3" t="s">
        <v>205</v>
      </c>
      <c r="F79" s="8" t="s">
        <v>62</v>
      </c>
      <c r="G79" s="2"/>
      <c r="H79" s="5"/>
      <c r="I79" s="2"/>
      <c r="J79" s="5"/>
      <c r="K79" s="6" t="s">
        <v>24</v>
      </c>
      <c r="L79" s="3"/>
    </row>
    <row r="80" customFormat="false" ht="14.25" hidden="false" customHeight="true" outlineLevel="0" collapsed="false">
      <c r="A80" s="2" t="n">
        <v>79</v>
      </c>
      <c r="B80" s="2" t="n">
        <v>200</v>
      </c>
      <c r="C80" s="3" t="s">
        <v>206</v>
      </c>
      <c r="D80" s="3" t="s">
        <v>207</v>
      </c>
      <c r="E80" s="3" t="s">
        <v>208</v>
      </c>
      <c r="F80" s="7" t="s">
        <v>27</v>
      </c>
      <c r="G80" s="2"/>
      <c r="H80" s="5"/>
      <c r="I80" s="2"/>
      <c r="J80" s="5"/>
      <c r="K80" s="6" t="s">
        <v>24</v>
      </c>
      <c r="L80" s="3"/>
    </row>
    <row r="81" customFormat="false" ht="14.25" hidden="false" customHeight="true" outlineLevel="0" collapsed="false">
      <c r="A81" s="2" t="n">
        <v>80</v>
      </c>
      <c r="B81" s="2" t="n">
        <v>133</v>
      </c>
      <c r="C81" s="3" t="s">
        <v>206</v>
      </c>
      <c r="D81" s="3" t="s">
        <v>209</v>
      </c>
      <c r="E81" s="3" t="s">
        <v>210</v>
      </c>
      <c r="F81" s="7" t="s">
        <v>27</v>
      </c>
      <c r="G81" s="2"/>
      <c r="H81" s="5"/>
      <c r="I81" s="2"/>
      <c r="J81" s="5"/>
      <c r="K81" s="6" t="s">
        <v>24</v>
      </c>
      <c r="L81" s="3"/>
    </row>
    <row r="82" customFormat="false" ht="14.25" hidden="false" customHeight="true" outlineLevel="0" collapsed="false">
      <c r="A82" s="2" t="n">
        <v>81</v>
      </c>
      <c r="B82" s="2" t="n">
        <v>695</v>
      </c>
      <c r="C82" s="3" t="s">
        <v>206</v>
      </c>
      <c r="D82" s="3" t="s">
        <v>211</v>
      </c>
      <c r="E82" s="3" t="s">
        <v>212</v>
      </c>
      <c r="F82" s="7" t="s">
        <v>27</v>
      </c>
      <c r="G82" s="2"/>
      <c r="H82" s="5"/>
      <c r="I82" s="2"/>
      <c r="J82" s="5"/>
      <c r="K82" s="6" t="s">
        <v>24</v>
      </c>
      <c r="L82" s="3"/>
    </row>
    <row r="83" customFormat="false" ht="14.25" hidden="false" customHeight="true" outlineLevel="0" collapsed="false">
      <c r="A83" s="2" t="n">
        <v>82</v>
      </c>
      <c r="B83" s="2" t="n">
        <v>417</v>
      </c>
      <c r="C83" s="3" t="s">
        <v>206</v>
      </c>
      <c r="D83" s="3" t="s">
        <v>213</v>
      </c>
      <c r="E83" s="3" t="s">
        <v>214</v>
      </c>
      <c r="F83" s="7" t="s">
        <v>27</v>
      </c>
      <c r="G83" s="2"/>
      <c r="H83" s="5"/>
      <c r="I83" s="2"/>
      <c r="J83" s="5"/>
      <c r="K83" s="6" t="s">
        <v>24</v>
      </c>
      <c r="L83" s="3"/>
    </row>
    <row r="84" customFormat="false" ht="14.25" hidden="false" customHeight="true" outlineLevel="0" collapsed="false">
      <c r="A84" s="2" t="n">
        <v>83</v>
      </c>
      <c r="B84" s="2" t="n">
        <v>130</v>
      </c>
      <c r="C84" s="3" t="s">
        <v>206</v>
      </c>
      <c r="D84" s="3" t="s">
        <v>215</v>
      </c>
      <c r="E84" s="3" t="s">
        <v>216</v>
      </c>
      <c r="F84" s="7" t="s">
        <v>27</v>
      </c>
      <c r="G84" s="2"/>
      <c r="H84" s="5"/>
      <c r="I84" s="2"/>
      <c r="J84" s="5"/>
      <c r="K84" s="6" t="s">
        <v>24</v>
      </c>
      <c r="L84" s="3"/>
    </row>
    <row r="85" customFormat="false" ht="14.25" hidden="false" customHeight="true" outlineLevel="0" collapsed="false">
      <c r="A85" s="2" t="n">
        <v>84</v>
      </c>
      <c r="B85" s="2" t="n">
        <v>207</v>
      </c>
      <c r="C85" s="3" t="s">
        <v>206</v>
      </c>
      <c r="D85" s="3" t="s">
        <v>217</v>
      </c>
      <c r="E85" s="3" t="s">
        <v>218</v>
      </c>
      <c r="F85" s="7" t="s">
        <v>27</v>
      </c>
      <c r="G85" s="2"/>
      <c r="H85" s="5"/>
      <c r="I85" s="2"/>
      <c r="J85" s="5"/>
      <c r="K85" s="6" t="s">
        <v>24</v>
      </c>
      <c r="L85" s="3"/>
    </row>
    <row r="86" customFormat="false" ht="14.25" hidden="false" customHeight="true" outlineLevel="0" collapsed="false">
      <c r="A86" s="2" t="n">
        <v>85</v>
      </c>
      <c r="B86" s="2" t="n">
        <v>210</v>
      </c>
      <c r="C86" s="3" t="s">
        <v>206</v>
      </c>
      <c r="D86" s="3" t="s">
        <v>219</v>
      </c>
      <c r="E86" s="3" t="s">
        <v>220</v>
      </c>
      <c r="F86" s="7" t="s">
        <v>27</v>
      </c>
      <c r="G86" s="2"/>
      <c r="H86" s="5"/>
      <c r="I86" s="2"/>
      <c r="J86" s="5"/>
      <c r="K86" s="6" t="s">
        <v>24</v>
      </c>
      <c r="L86" s="3"/>
    </row>
    <row r="87" customFormat="false" ht="14.25" hidden="false" customHeight="true" outlineLevel="0" collapsed="false">
      <c r="A87" s="2" t="n">
        <v>86</v>
      </c>
      <c r="B87" s="2" t="n">
        <v>261</v>
      </c>
      <c r="C87" s="3" t="s">
        <v>206</v>
      </c>
      <c r="D87" s="3" t="s">
        <v>221</v>
      </c>
      <c r="E87" s="3" t="s">
        <v>222</v>
      </c>
      <c r="F87" s="7" t="s">
        <v>27</v>
      </c>
      <c r="G87" s="2" t="s">
        <v>34</v>
      </c>
      <c r="H87" s="5"/>
      <c r="I87" s="2"/>
      <c r="J87" s="5"/>
      <c r="K87" s="6" t="s">
        <v>24</v>
      </c>
      <c r="L87" s="3"/>
    </row>
    <row r="88" customFormat="false" ht="14.25" hidden="false" customHeight="true" outlineLevel="0" collapsed="false">
      <c r="A88" s="2" t="n">
        <v>87</v>
      </c>
      <c r="B88" s="2" t="n">
        <v>323</v>
      </c>
      <c r="C88" s="3" t="s">
        <v>206</v>
      </c>
      <c r="D88" s="3" t="s">
        <v>223</v>
      </c>
      <c r="E88" s="3" t="s">
        <v>224</v>
      </c>
      <c r="F88" s="7" t="s">
        <v>27</v>
      </c>
      <c r="G88" s="2" t="s">
        <v>34</v>
      </c>
      <c r="H88" s="5"/>
      <c r="I88" s="2"/>
      <c r="J88" s="5"/>
      <c r="K88" s="6" t="s">
        <v>24</v>
      </c>
      <c r="L88" s="3"/>
    </row>
    <row r="89" customFormat="false" ht="14.25" hidden="false" customHeight="true" outlineLevel="0" collapsed="false">
      <c r="A89" s="2" t="n">
        <v>88</v>
      </c>
      <c r="B89" s="2" t="n">
        <v>127</v>
      </c>
      <c r="C89" s="3" t="s">
        <v>206</v>
      </c>
      <c r="D89" s="3" t="s">
        <v>225</v>
      </c>
      <c r="E89" s="3" t="s">
        <v>226</v>
      </c>
      <c r="F89" s="8" t="s">
        <v>62</v>
      </c>
      <c r="G89" s="2" t="s">
        <v>34</v>
      </c>
      <c r="H89" s="5"/>
      <c r="I89" s="2"/>
      <c r="J89" s="5"/>
      <c r="K89" s="6" t="s">
        <v>24</v>
      </c>
      <c r="L89" s="3"/>
    </row>
    <row r="90" customFormat="false" ht="14.25" hidden="false" customHeight="true" outlineLevel="0" collapsed="false">
      <c r="A90" s="2" t="n">
        <v>89</v>
      </c>
      <c r="B90" s="2" t="n">
        <v>743</v>
      </c>
      <c r="C90" s="3" t="s">
        <v>227</v>
      </c>
      <c r="D90" s="3" t="s">
        <v>228</v>
      </c>
      <c r="E90" s="3" t="s">
        <v>229</v>
      </c>
      <c r="F90" s="7" t="s">
        <v>27</v>
      </c>
      <c r="G90" s="2"/>
      <c r="H90" s="5"/>
      <c r="I90" s="2"/>
      <c r="J90" s="5"/>
      <c r="K90" s="6" t="s">
        <v>24</v>
      </c>
      <c r="L90" s="3"/>
    </row>
    <row r="91" customFormat="false" ht="14.25" hidden="false" customHeight="true" outlineLevel="0" collapsed="false">
      <c r="A91" s="2" t="n">
        <v>90</v>
      </c>
      <c r="B91" s="2" t="n">
        <v>1584</v>
      </c>
      <c r="C91" s="3" t="s">
        <v>227</v>
      </c>
      <c r="D91" s="3" t="s">
        <v>230</v>
      </c>
      <c r="E91" s="3" t="s">
        <v>231</v>
      </c>
      <c r="F91" s="7" t="s">
        <v>27</v>
      </c>
      <c r="G91" s="2" t="s">
        <v>34</v>
      </c>
      <c r="H91" s="5"/>
      <c r="I91" s="2"/>
      <c r="J91" s="5"/>
      <c r="K91" s="6" t="s">
        <v>24</v>
      </c>
      <c r="L91" s="3"/>
    </row>
    <row r="92" customFormat="false" ht="14.25" hidden="false" customHeight="true" outlineLevel="0" collapsed="false">
      <c r="A92" s="2" t="n">
        <v>91</v>
      </c>
      <c r="B92" s="2" t="n">
        <v>778</v>
      </c>
      <c r="C92" s="3" t="s">
        <v>227</v>
      </c>
      <c r="D92" s="3" t="s">
        <v>232</v>
      </c>
      <c r="E92" s="3" t="s">
        <v>233</v>
      </c>
      <c r="F92" s="8" t="s">
        <v>62</v>
      </c>
      <c r="G92" s="2"/>
      <c r="H92" s="5"/>
      <c r="I92" s="2"/>
      <c r="J92" s="5"/>
      <c r="K92" s="6" t="s">
        <v>24</v>
      </c>
      <c r="L92" s="3"/>
    </row>
    <row r="93" customFormat="false" ht="14.25" hidden="false" customHeight="true" outlineLevel="0" collapsed="false">
      <c r="A93" s="2" t="n">
        <v>92</v>
      </c>
      <c r="B93" s="2" t="n">
        <v>269</v>
      </c>
      <c r="C93" s="3" t="s">
        <v>227</v>
      </c>
      <c r="D93" s="3" t="s">
        <v>234</v>
      </c>
      <c r="E93" s="3" t="s">
        <v>235</v>
      </c>
      <c r="F93" s="8" t="s">
        <v>62</v>
      </c>
      <c r="G93" s="2" t="s">
        <v>34</v>
      </c>
      <c r="H93" s="5"/>
      <c r="I93" s="2"/>
      <c r="J93" s="5"/>
      <c r="K93" s="6" t="s">
        <v>24</v>
      </c>
      <c r="L93" s="3"/>
    </row>
    <row r="94" customFormat="false" ht="14.25" hidden="false" customHeight="true" outlineLevel="0" collapsed="false">
      <c r="A94" s="2" t="n">
        <v>93</v>
      </c>
      <c r="B94" s="2" t="n">
        <v>787</v>
      </c>
      <c r="C94" s="3" t="s">
        <v>227</v>
      </c>
      <c r="D94" s="3" t="s">
        <v>236</v>
      </c>
      <c r="E94" s="3" t="s">
        <v>237</v>
      </c>
      <c r="F94" s="7" t="s">
        <v>27</v>
      </c>
      <c r="G94" s="2"/>
      <c r="H94" s="5"/>
      <c r="I94" s="2"/>
      <c r="J94" s="5"/>
      <c r="K94" s="6" t="s">
        <v>24</v>
      </c>
      <c r="L94" s="3"/>
    </row>
    <row r="95" customFormat="false" ht="14.25" hidden="false" customHeight="true" outlineLevel="0" collapsed="false">
      <c r="A95" s="2" t="n">
        <v>94</v>
      </c>
      <c r="B95" s="2" t="n">
        <v>332</v>
      </c>
      <c r="C95" s="3" t="s">
        <v>227</v>
      </c>
      <c r="D95" s="3" t="s">
        <v>238</v>
      </c>
      <c r="E95" s="3" t="s">
        <v>239</v>
      </c>
      <c r="F95" s="8" t="s">
        <v>62</v>
      </c>
      <c r="G95" s="2" t="s">
        <v>34</v>
      </c>
      <c r="H95" s="5"/>
      <c r="I95" s="2"/>
      <c r="J95" s="5"/>
      <c r="K95" s="6" t="s">
        <v>24</v>
      </c>
      <c r="L95" s="3"/>
    </row>
    <row r="96" customFormat="false" ht="14.25" hidden="false" customHeight="true" outlineLevel="0" collapsed="false">
      <c r="A96" s="2" t="n">
        <v>95</v>
      </c>
      <c r="B96" s="2" t="n">
        <v>684</v>
      </c>
      <c r="C96" s="3" t="s">
        <v>227</v>
      </c>
      <c r="D96" s="3" t="s">
        <v>240</v>
      </c>
      <c r="E96" s="3" t="s">
        <v>241</v>
      </c>
      <c r="F96" s="7" t="s">
        <v>27</v>
      </c>
      <c r="G96" s="2"/>
      <c r="H96" s="5"/>
      <c r="I96" s="2"/>
      <c r="J96" s="5"/>
      <c r="K96" s="6" t="s">
        <v>24</v>
      </c>
      <c r="L96" s="3"/>
    </row>
    <row r="97" customFormat="false" ht="14.25" hidden="false" customHeight="true" outlineLevel="0" collapsed="false">
      <c r="A97" s="2" t="n">
        <v>96</v>
      </c>
      <c r="B97" s="2" t="n">
        <v>323</v>
      </c>
      <c r="C97" s="3" t="s">
        <v>227</v>
      </c>
      <c r="D97" s="3" t="s">
        <v>242</v>
      </c>
      <c r="E97" s="3" t="s">
        <v>243</v>
      </c>
      <c r="F97" s="7" t="s">
        <v>27</v>
      </c>
      <c r="G97" s="2" t="s">
        <v>34</v>
      </c>
      <c r="H97" s="5"/>
      <c r="I97" s="2"/>
      <c r="J97" s="5"/>
      <c r="K97" s="6" t="s">
        <v>24</v>
      </c>
      <c r="L97" s="3"/>
    </row>
    <row r="98" customFormat="false" ht="14.25" hidden="false" customHeight="true" outlineLevel="0" collapsed="false">
      <c r="A98" s="2" t="n">
        <v>97</v>
      </c>
      <c r="B98" s="2" t="n">
        <v>70</v>
      </c>
      <c r="C98" s="3" t="s">
        <v>244</v>
      </c>
      <c r="D98" s="3" t="s">
        <v>245</v>
      </c>
      <c r="E98" s="3" t="s">
        <v>246</v>
      </c>
      <c r="F98" s="4" t="s">
        <v>15</v>
      </c>
      <c r="G98" s="2"/>
      <c r="H98" s="5"/>
      <c r="I98" s="2"/>
      <c r="J98" s="5"/>
      <c r="K98" s="6" t="s">
        <v>24</v>
      </c>
      <c r="L98" s="3"/>
    </row>
    <row r="99" customFormat="false" ht="14.25" hidden="false" customHeight="true" outlineLevel="0" collapsed="false">
      <c r="A99" s="2" t="n">
        <v>98</v>
      </c>
      <c r="B99" s="2" t="n">
        <v>746</v>
      </c>
      <c r="C99" s="3" t="s">
        <v>244</v>
      </c>
      <c r="D99" s="3" t="s">
        <v>247</v>
      </c>
      <c r="E99" s="3" t="s">
        <v>248</v>
      </c>
      <c r="F99" s="4" t="s">
        <v>15</v>
      </c>
      <c r="G99" s="2"/>
      <c r="H99" s="5"/>
      <c r="I99" s="2"/>
      <c r="J99" s="5"/>
      <c r="K99" s="6" t="s">
        <v>24</v>
      </c>
      <c r="L99" s="3"/>
    </row>
    <row r="100" customFormat="false" ht="14.25" hidden="false" customHeight="true" outlineLevel="0" collapsed="false">
      <c r="A100" s="2" t="n">
        <v>99</v>
      </c>
      <c r="B100" s="2" t="n">
        <v>198</v>
      </c>
      <c r="C100" s="3" t="s">
        <v>244</v>
      </c>
      <c r="D100" s="3" t="s">
        <v>249</v>
      </c>
      <c r="E100" s="3" t="s">
        <v>250</v>
      </c>
      <c r="F100" s="7" t="s">
        <v>27</v>
      </c>
      <c r="G100" s="2"/>
      <c r="H100" s="5"/>
      <c r="I100" s="2"/>
      <c r="J100" s="5"/>
      <c r="K100" s="6" t="s">
        <v>24</v>
      </c>
      <c r="L100" s="3"/>
    </row>
    <row r="101" customFormat="false" ht="14.25" hidden="false" customHeight="true" outlineLevel="0" collapsed="false">
      <c r="A101" s="2" t="n">
        <v>100</v>
      </c>
      <c r="B101" s="2" t="n">
        <v>213</v>
      </c>
      <c r="C101" s="3" t="s">
        <v>244</v>
      </c>
      <c r="D101" s="3" t="s">
        <v>251</v>
      </c>
      <c r="E101" s="3" t="s">
        <v>252</v>
      </c>
      <c r="F101" s="7" t="s">
        <v>27</v>
      </c>
      <c r="G101" s="2"/>
      <c r="H101" s="5"/>
      <c r="I101" s="2"/>
      <c r="J101" s="5"/>
      <c r="K101" s="6" t="s">
        <v>24</v>
      </c>
      <c r="L101" s="3"/>
    </row>
    <row r="102" customFormat="false" ht="14.25" hidden="false" customHeight="true" outlineLevel="0" collapsed="false">
      <c r="A102" s="2" t="n">
        <v>101</v>
      </c>
      <c r="B102" s="2" t="n">
        <v>5</v>
      </c>
      <c r="C102" s="3" t="s">
        <v>244</v>
      </c>
      <c r="D102" s="3" t="s">
        <v>253</v>
      </c>
      <c r="E102" s="3" t="s">
        <v>254</v>
      </c>
      <c r="F102" s="7" t="s">
        <v>27</v>
      </c>
      <c r="G102" s="2"/>
      <c r="H102" s="5" t="n">
        <v>46303</v>
      </c>
      <c r="I102" s="2"/>
      <c r="J102" s="5"/>
      <c r="K102" s="6" t="s">
        <v>16</v>
      </c>
      <c r="L102" s="3" t="s">
        <v>255</v>
      </c>
    </row>
    <row r="103" customFormat="false" ht="14.25" hidden="false" customHeight="true" outlineLevel="0" collapsed="false">
      <c r="A103" s="2" t="n">
        <v>102</v>
      </c>
      <c r="B103" s="2" t="n">
        <v>647</v>
      </c>
      <c r="C103" s="3" t="s">
        <v>244</v>
      </c>
      <c r="D103" s="3" t="s">
        <v>256</v>
      </c>
      <c r="E103" s="3" t="s">
        <v>257</v>
      </c>
      <c r="F103" s="7" t="s">
        <v>27</v>
      </c>
      <c r="G103" s="2"/>
      <c r="H103" s="5"/>
      <c r="I103" s="2"/>
      <c r="J103" s="5"/>
      <c r="K103" s="6" t="s">
        <v>24</v>
      </c>
      <c r="L103" s="3"/>
    </row>
    <row r="104" customFormat="false" ht="14.25" hidden="false" customHeight="true" outlineLevel="0" collapsed="false">
      <c r="A104" s="2" t="n">
        <v>103</v>
      </c>
      <c r="B104" s="2" t="n">
        <v>91</v>
      </c>
      <c r="C104" s="3" t="s">
        <v>244</v>
      </c>
      <c r="D104" s="3" t="s">
        <v>258</v>
      </c>
      <c r="E104" s="3" t="s">
        <v>259</v>
      </c>
      <c r="F104" s="7" t="s">
        <v>27</v>
      </c>
      <c r="G104" s="2"/>
      <c r="H104" s="5"/>
      <c r="I104" s="2"/>
      <c r="J104" s="5"/>
      <c r="K104" s="6" t="s">
        <v>24</v>
      </c>
      <c r="L104" s="3"/>
    </row>
    <row r="105" customFormat="false" ht="14.25" hidden="false" customHeight="true" outlineLevel="0" collapsed="false">
      <c r="A105" s="2" t="n">
        <v>104</v>
      </c>
      <c r="B105" s="2" t="n">
        <v>322</v>
      </c>
      <c r="C105" s="3" t="s">
        <v>244</v>
      </c>
      <c r="D105" s="3" t="s">
        <v>260</v>
      </c>
      <c r="E105" s="3" t="s">
        <v>261</v>
      </c>
      <c r="F105" s="7" t="s">
        <v>27</v>
      </c>
      <c r="G105" s="2"/>
      <c r="H105" s="5"/>
      <c r="I105" s="2"/>
      <c r="J105" s="5"/>
      <c r="K105" s="6" t="s">
        <v>24</v>
      </c>
      <c r="L105" s="3"/>
    </row>
    <row r="106" customFormat="false" ht="14.25" hidden="false" customHeight="true" outlineLevel="0" collapsed="false">
      <c r="A106" s="2" t="n">
        <v>105</v>
      </c>
      <c r="B106" s="2" t="n">
        <v>152</v>
      </c>
      <c r="C106" s="3" t="s">
        <v>244</v>
      </c>
      <c r="D106" s="3" t="s">
        <v>262</v>
      </c>
      <c r="E106" s="3" t="s">
        <v>263</v>
      </c>
      <c r="F106" s="7" t="s">
        <v>27</v>
      </c>
      <c r="G106" s="2"/>
      <c r="H106" s="5"/>
      <c r="I106" s="2"/>
      <c r="J106" s="5"/>
      <c r="K106" s="6" t="s">
        <v>24</v>
      </c>
      <c r="L106" s="3"/>
    </row>
    <row r="107" customFormat="false" ht="14.25" hidden="false" customHeight="true" outlineLevel="0" collapsed="false">
      <c r="A107" s="2" t="n">
        <v>106</v>
      </c>
      <c r="B107" s="2" t="n">
        <v>139</v>
      </c>
      <c r="C107" s="3" t="s">
        <v>244</v>
      </c>
      <c r="D107" s="3" t="s">
        <v>264</v>
      </c>
      <c r="E107" s="3" t="s">
        <v>265</v>
      </c>
      <c r="F107" s="7" t="s">
        <v>27</v>
      </c>
      <c r="G107" s="2"/>
      <c r="H107" s="5"/>
      <c r="I107" s="2"/>
      <c r="J107" s="5"/>
      <c r="K107" s="6" t="s">
        <v>24</v>
      </c>
      <c r="L107" s="3"/>
    </row>
    <row r="108" customFormat="false" ht="14.25" hidden="false" customHeight="true" outlineLevel="0" collapsed="false">
      <c r="A108" s="2" t="n">
        <v>107</v>
      </c>
      <c r="B108" s="2" t="n">
        <v>300</v>
      </c>
      <c r="C108" s="3" t="s">
        <v>244</v>
      </c>
      <c r="D108" s="3" t="s">
        <v>266</v>
      </c>
      <c r="E108" s="3" t="s">
        <v>267</v>
      </c>
      <c r="F108" s="7" t="s">
        <v>27</v>
      </c>
      <c r="G108" s="2"/>
      <c r="H108" s="5"/>
      <c r="I108" s="2"/>
      <c r="J108" s="5"/>
      <c r="K108" s="6" t="s">
        <v>24</v>
      </c>
      <c r="L108" s="3"/>
    </row>
    <row r="109" customFormat="false" ht="14.25" hidden="false" customHeight="true" outlineLevel="0" collapsed="false">
      <c r="A109" s="2" t="n">
        <v>108</v>
      </c>
      <c r="B109" s="2" t="n">
        <v>416</v>
      </c>
      <c r="C109" s="3" t="s">
        <v>244</v>
      </c>
      <c r="D109" s="3" t="s">
        <v>268</v>
      </c>
      <c r="E109" s="3" t="s">
        <v>269</v>
      </c>
      <c r="F109" s="7" t="s">
        <v>27</v>
      </c>
      <c r="G109" s="2"/>
      <c r="H109" s="5"/>
      <c r="I109" s="2"/>
      <c r="J109" s="5"/>
      <c r="K109" s="6" t="s">
        <v>24</v>
      </c>
      <c r="L109" s="3"/>
    </row>
    <row r="110" customFormat="false" ht="14.25" hidden="false" customHeight="true" outlineLevel="0" collapsed="false">
      <c r="A110" s="2" t="n">
        <v>109</v>
      </c>
      <c r="B110" s="2" t="n">
        <v>62</v>
      </c>
      <c r="C110" s="3" t="s">
        <v>270</v>
      </c>
      <c r="D110" s="3" t="s">
        <v>271</v>
      </c>
      <c r="E110" s="3" t="s">
        <v>272</v>
      </c>
      <c r="F110" s="7" t="s">
        <v>27</v>
      </c>
      <c r="G110" s="2"/>
      <c r="H110" s="5"/>
      <c r="I110" s="2"/>
      <c r="J110" s="5"/>
      <c r="K110" s="6" t="s">
        <v>24</v>
      </c>
      <c r="L110" s="3"/>
    </row>
    <row r="111" customFormat="false" ht="14.25" hidden="false" customHeight="true" outlineLevel="0" collapsed="false">
      <c r="A111" s="2" t="n">
        <v>110</v>
      </c>
      <c r="B111" s="2" t="n">
        <v>1143</v>
      </c>
      <c r="C111" s="3" t="s">
        <v>270</v>
      </c>
      <c r="D111" s="3" t="s">
        <v>273</v>
      </c>
      <c r="E111" s="3" t="s">
        <v>274</v>
      </c>
      <c r="F111" s="7" t="s">
        <v>27</v>
      </c>
      <c r="G111" s="2"/>
      <c r="H111" s="5"/>
      <c r="I111" s="2"/>
      <c r="J111" s="5"/>
      <c r="K111" s="6" t="s">
        <v>24</v>
      </c>
      <c r="L111" s="3"/>
    </row>
    <row r="112" customFormat="false" ht="14.25" hidden="false" customHeight="true" outlineLevel="0" collapsed="false">
      <c r="A112" s="2" t="n">
        <v>111</v>
      </c>
      <c r="B112" s="2" t="n">
        <v>309</v>
      </c>
      <c r="C112" s="3" t="s">
        <v>270</v>
      </c>
      <c r="D112" s="3" t="s">
        <v>275</v>
      </c>
      <c r="E112" s="3" t="s">
        <v>276</v>
      </c>
      <c r="F112" s="7" t="s">
        <v>27</v>
      </c>
      <c r="G112" s="2"/>
      <c r="H112" s="5"/>
      <c r="I112" s="2"/>
      <c r="J112" s="5"/>
      <c r="K112" s="6" t="s">
        <v>24</v>
      </c>
      <c r="L112" s="3"/>
    </row>
    <row r="113" customFormat="false" ht="14.25" hidden="false" customHeight="true" outlineLevel="0" collapsed="false">
      <c r="A113" s="2" t="n">
        <v>112</v>
      </c>
      <c r="B113" s="2" t="n">
        <v>518</v>
      </c>
      <c r="C113" s="3" t="s">
        <v>270</v>
      </c>
      <c r="D113" s="3" t="s">
        <v>277</v>
      </c>
      <c r="E113" s="3" t="s">
        <v>278</v>
      </c>
      <c r="F113" s="7" t="s">
        <v>27</v>
      </c>
      <c r="G113" s="2"/>
      <c r="H113" s="5"/>
      <c r="I113" s="2"/>
      <c r="J113" s="5"/>
      <c r="K113" s="6" t="s">
        <v>24</v>
      </c>
      <c r="L113" s="3"/>
    </row>
    <row r="114" customFormat="false" ht="14.25" hidden="false" customHeight="true" outlineLevel="0" collapsed="false">
      <c r="A114" s="2" t="n">
        <v>113</v>
      </c>
      <c r="B114" s="2" t="n">
        <v>494</v>
      </c>
      <c r="C114" s="3" t="s">
        <v>270</v>
      </c>
      <c r="D114" s="3" t="s">
        <v>279</v>
      </c>
      <c r="E114" s="3" t="s">
        <v>280</v>
      </c>
      <c r="F114" s="7" t="s">
        <v>27</v>
      </c>
      <c r="G114" s="2"/>
      <c r="H114" s="5"/>
      <c r="I114" s="2"/>
      <c r="J114" s="5"/>
      <c r="K114" s="6" t="s">
        <v>24</v>
      </c>
      <c r="L114" s="3"/>
    </row>
    <row r="115" customFormat="false" ht="14.25" hidden="false" customHeight="true" outlineLevel="0" collapsed="false">
      <c r="A115" s="2" t="n">
        <v>114</v>
      </c>
      <c r="B115" s="2" t="n">
        <v>97</v>
      </c>
      <c r="C115" s="3" t="s">
        <v>270</v>
      </c>
      <c r="D115" s="3" t="s">
        <v>281</v>
      </c>
      <c r="E115" s="3" t="s">
        <v>282</v>
      </c>
      <c r="F115" s="7" t="s">
        <v>27</v>
      </c>
      <c r="G115" s="2"/>
      <c r="H115" s="5"/>
      <c r="I115" s="2"/>
      <c r="J115" s="5"/>
      <c r="K115" s="6" t="s">
        <v>24</v>
      </c>
      <c r="L115" s="3"/>
    </row>
    <row r="116" customFormat="false" ht="14.25" hidden="false" customHeight="true" outlineLevel="0" collapsed="false">
      <c r="A116" s="2" t="n">
        <v>115</v>
      </c>
      <c r="B116" s="2" t="n">
        <v>329</v>
      </c>
      <c r="C116" s="3" t="s">
        <v>270</v>
      </c>
      <c r="D116" s="3" t="s">
        <v>283</v>
      </c>
      <c r="E116" s="3" t="s">
        <v>284</v>
      </c>
      <c r="F116" s="8" t="s">
        <v>62</v>
      </c>
      <c r="G116" s="2" t="s">
        <v>34</v>
      </c>
      <c r="H116" s="5"/>
      <c r="I116" s="2"/>
      <c r="J116" s="5"/>
      <c r="K116" s="6" t="s">
        <v>24</v>
      </c>
      <c r="L116" s="3"/>
    </row>
    <row r="117" customFormat="false" ht="14.25" hidden="false" customHeight="true" outlineLevel="0" collapsed="false">
      <c r="A117" s="2" t="n">
        <v>116</v>
      </c>
      <c r="B117" s="2" t="n">
        <v>115</v>
      </c>
      <c r="C117" s="3" t="s">
        <v>270</v>
      </c>
      <c r="D117" s="3" t="s">
        <v>285</v>
      </c>
      <c r="E117" s="3" t="s">
        <v>286</v>
      </c>
      <c r="F117" s="8" t="s">
        <v>62</v>
      </c>
      <c r="G117" s="2" t="s">
        <v>34</v>
      </c>
      <c r="H117" s="5"/>
      <c r="I117" s="2"/>
      <c r="J117" s="5"/>
      <c r="K117" s="6" t="s">
        <v>24</v>
      </c>
      <c r="L117" s="3"/>
    </row>
    <row r="118" customFormat="false" ht="14.25" hidden="false" customHeight="true" outlineLevel="0" collapsed="false">
      <c r="A118" s="2" t="n">
        <v>117</v>
      </c>
      <c r="B118" s="2" t="n">
        <v>72</v>
      </c>
      <c r="C118" s="3" t="s">
        <v>270</v>
      </c>
      <c r="D118" s="3" t="s">
        <v>287</v>
      </c>
      <c r="E118" s="3" t="s">
        <v>288</v>
      </c>
      <c r="F118" s="7" t="s">
        <v>27</v>
      </c>
      <c r="G118" s="2"/>
      <c r="H118" s="5"/>
      <c r="I118" s="2"/>
      <c r="J118" s="5"/>
      <c r="K118" s="6" t="s">
        <v>24</v>
      </c>
      <c r="L118" s="3"/>
    </row>
    <row r="119" customFormat="false" ht="14.25" hidden="false" customHeight="true" outlineLevel="0" collapsed="false">
      <c r="A119" s="2" t="n">
        <v>118</v>
      </c>
      <c r="B119" s="2" t="n">
        <v>312</v>
      </c>
      <c r="C119" s="3" t="s">
        <v>270</v>
      </c>
      <c r="D119" s="3" t="s">
        <v>289</v>
      </c>
      <c r="E119" s="3" t="s">
        <v>290</v>
      </c>
      <c r="F119" s="8" t="s">
        <v>62</v>
      </c>
      <c r="G119" s="2" t="s">
        <v>34</v>
      </c>
      <c r="H119" s="5"/>
      <c r="I119" s="2"/>
      <c r="J119" s="5"/>
      <c r="K119" s="6" t="s">
        <v>24</v>
      </c>
      <c r="L119" s="3"/>
    </row>
    <row r="120" customFormat="false" ht="14.25" hidden="false" customHeight="true" outlineLevel="0" collapsed="false">
      <c r="A120" s="2" t="n">
        <v>119</v>
      </c>
      <c r="B120" s="2" t="n">
        <v>10</v>
      </c>
      <c r="C120" s="3" t="s">
        <v>270</v>
      </c>
      <c r="D120" s="3" t="s">
        <v>291</v>
      </c>
      <c r="E120" s="3" t="s">
        <v>292</v>
      </c>
      <c r="F120" s="8" t="s">
        <v>62</v>
      </c>
      <c r="G120" s="2" t="s">
        <v>34</v>
      </c>
      <c r="H120" s="5" t="n">
        <v>46303</v>
      </c>
      <c r="I120" s="2"/>
      <c r="J120" s="5"/>
      <c r="K120" s="6" t="s">
        <v>16</v>
      </c>
      <c r="L120" s="3" t="s">
        <v>293</v>
      </c>
    </row>
    <row r="121" customFormat="false" ht="14.25" hidden="false" customHeight="true" outlineLevel="0" collapsed="false">
      <c r="A121" s="2" t="n">
        <v>120</v>
      </c>
      <c r="B121" s="2" t="n">
        <v>53</v>
      </c>
      <c r="C121" s="3" t="s">
        <v>294</v>
      </c>
      <c r="D121" s="3" t="s">
        <v>295</v>
      </c>
      <c r="E121" s="3" t="s">
        <v>296</v>
      </c>
      <c r="F121" s="7" t="s">
        <v>27</v>
      </c>
      <c r="G121" s="2"/>
      <c r="H121" s="5"/>
      <c r="I121" s="2"/>
      <c r="J121" s="5"/>
      <c r="K121" s="6" t="s">
        <v>24</v>
      </c>
      <c r="L121" s="3"/>
    </row>
    <row r="122" customFormat="false" ht="14.25" hidden="false" customHeight="true" outlineLevel="0" collapsed="false">
      <c r="A122" s="2" t="n">
        <v>121</v>
      </c>
      <c r="B122" s="2" t="n">
        <v>55</v>
      </c>
      <c r="C122" s="3" t="s">
        <v>294</v>
      </c>
      <c r="D122" s="3" t="s">
        <v>297</v>
      </c>
      <c r="E122" s="3" t="s">
        <v>298</v>
      </c>
      <c r="F122" s="7" t="s">
        <v>27</v>
      </c>
      <c r="G122" s="2"/>
      <c r="H122" s="5"/>
      <c r="I122" s="2"/>
      <c r="J122" s="5"/>
      <c r="K122" s="6" t="s">
        <v>24</v>
      </c>
      <c r="L122" s="3"/>
    </row>
    <row r="123" customFormat="false" ht="14.25" hidden="false" customHeight="true" outlineLevel="0" collapsed="false">
      <c r="A123" s="2" t="n">
        <v>122</v>
      </c>
      <c r="B123" s="2" t="n">
        <v>45</v>
      </c>
      <c r="C123" s="3" t="s">
        <v>294</v>
      </c>
      <c r="D123" s="3" t="s">
        <v>299</v>
      </c>
      <c r="E123" s="3" t="s">
        <v>300</v>
      </c>
      <c r="F123" s="7" t="s">
        <v>27</v>
      </c>
      <c r="G123" s="2"/>
      <c r="H123" s="5"/>
      <c r="I123" s="2"/>
      <c r="J123" s="5"/>
      <c r="K123" s="6" t="s">
        <v>24</v>
      </c>
      <c r="L123" s="3"/>
    </row>
    <row r="124" customFormat="false" ht="14.25" hidden="false" customHeight="true" outlineLevel="0" collapsed="false">
      <c r="A124" s="2" t="n">
        <v>123</v>
      </c>
      <c r="B124" s="2" t="n">
        <v>134</v>
      </c>
      <c r="C124" s="3" t="s">
        <v>294</v>
      </c>
      <c r="D124" s="3" t="s">
        <v>301</v>
      </c>
      <c r="E124" s="3" t="s">
        <v>302</v>
      </c>
      <c r="F124" s="7" t="s">
        <v>27</v>
      </c>
      <c r="G124" s="2"/>
      <c r="H124" s="5"/>
      <c r="I124" s="2"/>
      <c r="J124" s="5"/>
      <c r="K124" s="6" t="s">
        <v>24</v>
      </c>
      <c r="L124" s="3"/>
    </row>
    <row r="125" customFormat="false" ht="14.25" hidden="false" customHeight="true" outlineLevel="0" collapsed="false">
      <c r="A125" s="2" t="n">
        <v>124</v>
      </c>
      <c r="B125" s="2" t="n">
        <v>846</v>
      </c>
      <c r="C125" s="3" t="s">
        <v>294</v>
      </c>
      <c r="D125" s="3" t="s">
        <v>303</v>
      </c>
      <c r="E125" s="3" t="s">
        <v>304</v>
      </c>
      <c r="F125" s="7" t="s">
        <v>27</v>
      </c>
      <c r="G125" s="2"/>
      <c r="H125" s="5"/>
      <c r="I125" s="2"/>
      <c r="J125" s="5"/>
      <c r="K125" s="6" t="s">
        <v>24</v>
      </c>
      <c r="L125" s="3"/>
    </row>
    <row r="126" customFormat="false" ht="14.25" hidden="false" customHeight="true" outlineLevel="0" collapsed="false">
      <c r="A126" s="2" t="n">
        <v>125</v>
      </c>
      <c r="B126" s="2" t="n">
        <v>1899</v>
      </c>
      <c r="C126" s="3" t="s">
        <v>294</v>
      </c>
      <c r="D126" s="3" t="s">
        <v>305</v>
      </c>
      <c r="E126" s="3" t="s">
        <v>306</v>
      </c>
      <c r="F126" s="7" t="s">
        <v>27</v>
      </c>
      <c r="G126" s="2" t="s">
        <v>34</v>
      </c>
      <c r="H126" s="5"/>
      <c r="I126" s="2"/>
      <c r="J126" s="5"/>
      <c r="K126" s="6" t="s">
        <v>24</v>
      </c>
      <c r="L126" s="3"/>
    </row>
    <row r="127" customFormat="false" ht="14.25" hidden="false" customHeight="true" outlineLevel="0" collapsed="false">
      <c r="A127" s="2" t="n">
        <v>126</v>
      </c>
      <c r="B127" s="2" t="n">
        <v>763</v>
      </c>
      <c r="C127" s="3" t="s">
        <v>294</v>
      </c>
      <c r="D127" s="3" t="s">
        <v>307</v>
      </c>
      <c r="E127" s="3" t="s">
        <v>308</v>
      </c>
      <c r="F127" s="7" t="s">
        <v>27</v>
      </c>
      <c r="G127" s="2"/>
      <c r="H127" s="5"/>
      <c r="I127" s="2"/>
      <c r="J127" s="5"/>
      <c r="K127" s="6" t="s">
        <v>24</v>
      </c>
      <c r="L127" s="3"/>
    </row>
    <row r="128" customFormat="false" ht="14.25" hidden="false" customHeight="true" outlineLevel="0" collapsed="false">
      <c r="A128" s="2" t="n">
        <v>127</v>
      </c>
      <c r="B128" s="2" t="n">
        <v>678</v>
      </c>
      <c r="C128" s="3" t="s">
        <v>294</v>
      </c>
      <c r="D128" s="3" t="s">
        <v>309</v>
      </c>
      <c r="E128" s="3" t="s">
        <v>310</v>
      </c>
      <c r="F128" s="7" t="s">
        <v>27</v>
      </c>
      <c r="G128" s="2"/>
      <c r="H128" s="5"/>
      <c r="I128" s="2"/>
      <c r="J128" s="5"/>
      <c r="K128" s="6" t="s">
        <v>24</v>
      </c>
      <c r="L128" s="3"/>
    </row>
    <row r="129" customFormat="false" ht="14.25" hidden="false" customHeight="true" outlineLevel="0" collapsed="false">
      <c r="A129" s="2" t="n">
        <v>128</v>
      </c>
      <c r="B129" s="2" t="n">
        <v>435</v>
      </c>
      <c r="C129" s="3" t="s">
        <v>294</v>
      </c>
      <c r="D129" s="3" t="s">
        <v>311</v>
      </c>
      <c r="E129" s="3" t="s">
        <v>312</v>
      </c>
      <c r="F129" s="7" t="s">
        <v>27</v>
      </c>
      <c r="G129" s="2"/>
      <c r="H129" s="5"/>
      <c r="I129" s="2"/>
      <c r="J129" s="5"/>
      <c r="K129" s="6" t="s">
        <v>24</v>
      </c>
      <c r="L129" s="3"/>
    </row>
    <row r="130" customFormat="false" ht="14.25" hidden="false" customHeight="true" outlineLevel="0" collapsed="false">
      <c r="A130" s="2" t="n">
        <v>129</v>
      </c>
      <c r="B130" s="2" t="n">
        <v>56</v>
      </c>
      <c r="C130" s="3" t="s">
        <v>294</v>
      </c>
      <c r="D130" s="3" t="s">
        <v>313</v>
      </c>
      <c r="E130" s="3" t="s">
        <v>314</v>
      </c>
      <c r="F130" s="7" t="s">
        <v>27</v>
      </c>
      <c r="G130" s="2"/>
      <c r="H130" s="5"/>
      <c r="I130" s="2"/>
      <c r="J130" s="5"/>
      <c r="K130" s="6" t="s">
        <v>24</v>
      </c>
      <c r="L130" s="3"/>
    </row>
    <row r="131" customFormat="false" ht="14.25" hidden="false" customHeight="true" outlineLevel="0" collapsed="false">
      <c r="A131" s="2" t="n">
        <v>130</v>
      </c>
      <c r="B131" s="2" t="n">
        <v>57</v>
      </c>
      <c r="C131" s="3" t="s">
        <v>294</v>
      </c>
      <c r="D131" s="3" t="s">
        <v>315</v>
      </c>
      <c r="E131" s="3" t="s">
        <v>316</v>
      </c>
      <c r="F131" s="7" t="s">
        <v>27</v>
      </c>
      <c r="G131" s="2"/>
      <c r="H131" s="5"/>
      <c r="I131" s="2"/>
      <c r="J131" s="5"/>
      <c r="K131" s="6" t="s">
        <v>24</v>
      </c>
      <c r="L131" s="3"/>
    </row>
    <row r="132" customFormat="false" ht="14.25" hidden="false" customHeight="true" outlineLevel="0" collapsed="false">
      <c r="A132" s="2" t="n">
        <v>131</v>
      </c>
      <c r="B132" s="2" t="n">
        <v>136</v>
      </c>
      <c r="C132" s="3" t="s">
        <v>317</v>
      </c>
      <c r="D132" s="3" t="s">
        <v>318</v>
      </c>
      <c r="E132" s="3" t="s">
        <v>319</v>
      </c>
      <c r="F132" s="4" t="s">
        <v>15</v>
      </c>
      <c r="G132" s="2"/>
      <c r="H132" s="5"/>
      <c r="I132" s="2"/>
      <c r="J132" s="5"/>
      <c r="K132" s="6" t="s">
        <v>24</v>
      </c>
      <c r="L132" s="3"/>
    </row>
    <row r="133" customFormat="false" ht="14.25" hidden="false" customHeight="true" outlineLevel="0" collapsed="false">
      <c r="A133" s="2" t="n">
        <v>132</v>
      </c>
      <c r="B133" s="2" t="n">
        <v>191</v>
      </c>
      <c r="C133" s="3" t="s">
        <v>317</v>
      </c>
      <c r="D133" s="3" t="s">
        <v>320</v>
      </c>
      <c r="E133" s="3" t="s">
        <v>321</v>
      </c>
      <c r="F133" s="4" t="s">
        <v>15</v>
      </c>
      <c r="G133" s="2"/>
      <c r="H133" s="5"/>
      <c r="I133" s="2"/>
      <c r="J133" s="5"/>
      <c r="K133" s="6" t="s">
        <v>24</v>
      </c>
      <c r="L133" s="3"/>
    </row>
    <row r="134" customFormat="false" ht="14.25" hidden="false" customHeight="true" outlineLevel="0" collapsed="false">
      <c r="A134" s="2" t="n">
        <v>133</v>
      </c>
      <c r="B134" s="2" t="n">
        <v>338</v>
      </c>
      <c r="C134" s="3" t="s">
        <v>317</v>
      </c>
      <c r="D134" s="3" t="s">
        <v>322</v>
      </c>
      <c r="E134" s="3" t="s">
        <v>323</v>
      </c>
      <c r="F134" s="4" t="s">
        <v>15</v>
      </c>
      <c r="G134" s="2"/>
      <c r="H134" s="5"/>
      <c r="I134" s="2"/>
      <c r="J134" s="5"/>
      <c r="K134" s="6" t="s">
        <v>24</v>
      </c>
      <c r="L134" s="3"/>
    </row>
    <row r="135" customFormat="false" ht="14.25" hidden="false" customHeight="true" outlineLevel="0" collapsed="false">
      <c r="A135" s="2" t="n">
        <v>134</v>
      </c>
      <c r="B135" s="2" t="n">
        <v>190</v>
      </c>
      <c r="C135" s="3" t="s">
        <v>317</v>
      </c>
      <c r="D135" s="3" t="s">
        <v>324</v>
      </c>
      <c r="E135" s="3" t="s">
        <v>325</v>
      </c>
      <c r="F135" s="4" t="s">
        <v>15</v>
      </c>
      <c r="G135" s="2"/>
      <c r="H135" s="5"/>
      <c r="I135" s="2"/>
      <c r="J135" s="5"/>
      <c r="K135" s="6" t="s">
        <v>24</v>
      </c>
      <c r="L135" s="3"/>
    </row>
    <row r="136" customFormat="false" ht="14.25" hidden="false" customHeight="true" outlineLevel="0" collapsed="false">
      <c r="A136" s="2" t="n">
        <v>135</v>
      </c>
      <c r="B136" s="2" t="n">
        <v>268</v>
      </c>
      <c r="C136" s="3" t="s">
        <v>317</v>
      </c>
      <c r="D136" s="3" t="s">
        <v>326</v>
      </c>
      <c r="E136" s="3" t="s">
        <v>327</v>
      </c>
      <c r="F136" s="4" t="s">
        <v>15</v>
      </c>
      <c r="G136" s="2"/>
      <c r="H136" s="5"/>
      <c r="I136" s="2"/>
      <c r="J136" s="5"/>
      <c r="K136" s="6" t="s">
        <v>24</v>
      </c>
      <c r="L136" s="3"/>
    </row>
    <row r="137" customFormat="false" ht="14.25" hidden="false" customHeight="true" outlineLevel="0" collapsed="false">
      <c r="A137" s="2" t="n">
        <v>136</v>
      </c>
      <c r="B137" s="2" t="n">
        <v>371</v>
      </c>
      <c r="C137" s="3" t="s">
        <v>317</v>
      </c>
      <c r="D137" s="3" t="s">
        <v>328</v>
      </c>
      <c r="E137" s="3" t="s">
        <v>329</v>
      </c>
      <c r="F137" s="7" t="s">
        <v>27</v>
      </c>
      <c r="G137" s="2"/>
      <c r="H137" s="5"/>
      <c r="I137" s="2"/>
      <c r="J137" s="5"/>
      <c r="K137" s="6" t="s">
        <v>24</v>
      </c>
      <c r="L137" s="3"/>
    </row>
    <row r="138" customFormat="false" ht="14.25" hidden="false" customHeight="true" outlineLevel="0" collapsed="false">
      <c r="A138" s="2" t="n">
        <v>137</v>
      </c>
      <c r="B138" s="2" t="n">
        <v>7</v>
      </c>
      <c r="C138" s="3" t="s">
        <v>317</v>
      </c>
      <c r="D138" s="3" t="s">
        <v>330</v>
      </c>
      <c r="E138" s="3" t="s">
        <v>331</v>
      </c>
      <c r="F138" s="7" t="s">
        <v>27</v>
      </c>
      <c r="G138" s="2"/>
      <c r="H138" s="5" t="n">
        <v>46303</v>
      </c>
      <c r="I138" s="2"/>
      <c r="J138" s="5"/>
      <c r="K138" s="6" t="s">
        <v>16</v>
      </c>
      <c r="L138" s="3" t="s">
        <v>332</v>
      </c>
    </row>
  </sheetData>
  <autoFilter ref="A1:L138"/>
  <dataValidations count="2">
    <dataValidation allowBlank="true" errorStyle="stop" operator="between" showDropDown="false" showErrorMessage="false" showInputMessage="false" sqref="I2:I138" type="list">
      <formula1>"是,否"</formula1>
      <formula2>0</formula2>
    </dataValidation>
    <dataValidation allowBlank="true" error="请从下拉列表中选择" errorStyle="stop" operator="between" showDropDown="false" showErrorMessage="false" showInputMessage="false" sqref="K2:K138" type="list">
      <formula1>"未开始,进行中,已完成,需重刷"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5" min="5" style="0" width="7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7.25" hidden="false" customHeight="true" outlineLevel="0" collapsed="false">
      <c r="A1" s="9" t="s">
        <v>333</v>
      </c>
    </row>
    <row r="2" customFormat="false" ht="14.25" hidden="false" customHeight="true" outlineLevel="0" collapsed="false">
      <c r="A2" s="10" t="s">
        <v>334</v>
      </c>
    </row>
    <row r="4" customFormat="false" ht="14.25" hidden="false" customHeight="true" outlineLevel="0" collapsed="false">
      <c r="A4" s="1" t="s">
        <v>2</v>
      </c>
      <c r="B4" s="1" t="s">
        <v>335</v>
      </c>
      <c r="C4" s="1" t="s">
        <v>15</v>
      </c>
      <c r="D4" s="1" t="s">
        <v>27</v>
      </c>
      <c r="E4" s="1" t="s">
        <v>62</v>
      </c>
      <c r="F4" s="1" t="s">
        <v>16</v>
      </c>
      <c r="G4" s="1" t="s">
        <v>45</v>
      </c>
      <c r="H4" s="1" t="s">
        <v>336</v>
      </c>
      <c r="I4" s="1" t="s">
        <v>337</v>
      </c>
    </row>
    <row r="5" customFormat="false" ht="14.25" hidden="false" customHeight="true" outlineLevel="0" collapsed="false">
      <c r="A5" s="11" t="s">
        <v>12</v>
      </c>
      <c r="B5" s="12" t="n">
        <v>9</v>
      </c>
      <c r="C5" s="12" t="n">
        <v>3</v>
      </c>
      <c r="D5" s="12" t="n">
        <v>6</v>
      </c>
      <c r="E5" s="12" t="n">
        <v>0</v>
      </c>
      <c r="F5" s="12" t="n">
        <f aca="false">COUNTIFS(进度表!$C:$C,$A5,进度表!$K:$K,"已完成")</f>
        <v>6</v>
      </c>
      <c r="G5" s="12" t="n">
        <f aca="false">COUNTIFS(进度表!$C:$C,$A5,进度表!$K:$K,"需重刷")</f>
        <v>1</v>
      </c>
      <c r="H5" s="13" t="n">
        <f aca="false">IF($B5=0,0,$F5/$B5)</f>
        <v>0.666666666666667</v>
      </c>
      <c r="I5" s="12" t="n">
        <v>7.5</v>
      </c>
    </row>
    <row r="6" customFormat="false" ht="14.25" hidden="false" customHeight="true" outlineLevel="0" collapsed="false">
      <c r="A6" s="11" t="s">
        <v>47</v>
      </c>
      <c r="B6" s="12" t="n">
        <v>5</v>
      </c>
      <c r="C6" s="12" t="n">
        <v>1</v>
      </c>
      <c r="D6" s="12" t="n">
        <v>3</v>
      </c>
      <c r="E6" s="12" t="n">
        <v>1</v>
      </c>
      <c r="F6" s="12" t="n">
        <f aca="false">COUNTIFS(进度表!$C:$C,$A6,进度表!$K:$K,"已完成")</f>
        <v>3</v>
      </c>
      <c r="G6" s="12" t="n">
        <f aca="false">COUNTIFS(进度表!$C:$C,$A6,进度表!$K:$K,"需重刷")</f>
        <v>0</v>
      </c>
      <c r="H6" s="13" t="n">
        <f aca="false">IF($B6=0,0,$F6/$B6)</f>
        <v>0.6</v>
      </c>
      <c r="I6" s="12" t="n">
        <v>5.5</v>
      </c>
    </row>
    <row r="7" customFormat="false" ht="14.25" hidden="false" customHeight="true" outlineLevel="0" collapsed="false">
      <c r="A7" s="11" t="s">
        <v>63</v>
      </c>
      <c r="B7" s="12" t="n">
        <v>6</v>
      </c>
      <c r="C7" s="12" t="n">
        <v>1</v>
      </c>
      <c r="D7" s="12" t="n">
        <v>3</v>
      </c>
      <c r="E7" s="12" t="n">
        <v>2</v>
      </c>
      <c r="F7" s="12" t="n">
        <f aca="false">COUNTIFS(进度表!$C:$C,$A7,进度表!$K:$K,"已完成")</f>
        <v>1</v>
      </c>
      <c r="G7" s="12" t="n">
        <f aca="false">COUNTIFS(进度表!$C:$C,$A7,进度表!$K:$K,"需重刷")</f>
        <v>0</v>
      </c>
      <c r="H7" s="13" t="n">
        <f aca="false">IF($B7=0,0,$F7/$B7)</f>
        <v>0.166666666666667</v>
      </c>
      <c r="I7" s="12" t="n">
        <v>7.5</v>
      </c>
    </row>
    <row r="8" customFormat="false" ht="14.25" hidden="false" customHeight="true" outlineLevel="0" collapsed="false">
      <c r="A8" s="11" t="s">
        <v>77</v>
      </c>
      <c r="B8" s="12" t="n">
        <v>6</v>
      </c>
      <c r="C8" s="12" t="n">
        <v>1</v>
      </c>
      <c r="D8" s="12" t="n">
        <v>4</v>
      </c>
      <c r="E8" s="12" t="n">
        <v>1</v>
      </c>
      <c r="F8" s="12" t="n">
        <f aca="false">COUNTIFS(进度表!$C:$C,$A8,进度表!$K:$K,"已完成")</f>
        <v>0</v>
      </c>
      <c r="G8" s="12" t="n">
        <f aca="false">COUNTIFS(进度表!$C:$C,$A8,进度表!$K:$K,"需重刷")</f>
        <v>0</v>
      </c>
      <c r="H8" s="13" t="n">
        <f aca="false">IF($B8=0,0,$F8/$B8)</f>
        <v>0</v>
      </c>
      <c r="I8" s="12" t="n">
        <v>6.5</v>
      </c>
    </row>
    <row r="9" customFormat="false" ht="14.25" hidden="false" customHeight="true" outlineLevel="0" collapsed="false">
      <c r="A9" s="11" t="s">
        <v>90</v>
      </c>
      <c r="B9" s="12" t="n">
        <v>7</v>
      </c>
      <c r="C9" s="12" t="n">
        <v>1</v>
      </c>
      <c r="D9" s="12" t="n">
        <v>5</v>
      </c>
      <c r="E9" s="12" t="n">
        <v>1</v>
      </c>
      <c r="F9" s="12" t="n">
        <f aca="false">COUNTIFS(进度表!$C:$C,$A9,进度表!$K:$K,"已完成")</f>
        <v>1</v>
      </c>
      <c r="G9" s="12" t="n">
        <f aca="false">COUNTIFS(进度表!$C:$C,$A9,进度表!$K:$K,"需重刷")</f>
        <v>0</v>
      </c>
      <c r="H9" s="13" t="n">
        <f aca="false">IF($B9=0,0,$F9/$B9)</f>
        <v>0.142857142857143</v>
      </c>
      <c r="I9" s="12" t="n">
        <v>7.5</v>
      </c>
    </row>
    <row r="10" customFormat="false" ht="14.25" hidden="false" customHeight="true" outlineLevel="0" collapsed="false">
      <c r="A10" s="11" t="s">
        <v>105</v>
      </c>
      <c r="B10" s="12" t="n">
        <v>11</v>
      </c>
      <c r="C10" s="12" t="n">
        <v>3</v>
      </c>
      <c r="D10" s="12" t="n">
        <v>6</v>
      </c>
      <c r="E10" s="12" t="n">
        <v>2</v>
      </c>
      <c r="F10" s="12" t="n">
        <f aca="false">COUNTIFS(进度表!$C:$C,$A10,进度表!$K:$K,"已完成")</f>
        <v>5</v>
      </c>
      <c r="G10" s="12" t="n">
        <f aca="false">COUNTIFS(进度表!$C:$C,$A10,进度表!$K:$K,"需重刷")</f>
        <v>0</v>
      </c>
      <c r="H10" s="13" t="n">
        <f aca="false">IF($B10=0,0,$F10/$B10)</f>
        <v>0.454545454545455</v>
      </c>
      <c r="I10" s="12" t="n">
        <v>11.5</v>
      </c>
    </row>
    <row r="11" customFormat="false" ht="14.25" hidden="false" customHeight="true" outlineLevel="0" collapsed="false">
      <c r="A11" s="11" t="s">
        <v>133</v>
      </c>
      <c r="B11" s="12" t="n">
        <v>15</v>
      </c>
      <c r="C11" s="12" t="n">
        <v>6</v>
      </c>
      <c r="D11" s="12" t="n">
        <v>7</v>
      </c>
      <c r="E11" s="12" t="n">
        <v>2</v>
      </c>
      <c r="F11" s="12" t="n">
        <f aca="false">COUNTIFS(进度表!$C:$C,$A11,进度表!$K:$K,"已完成")</f>
        <v>0</v>
      </c>
      <c r="G11" s="12" t="n">
        <f aca="false">COUNTIFS(进度表!$C:$C,$A11,进度表!$K:$K,"需重刷")</f>
        <v>0</v>
      </c>
      <c r="H11" s="13" t="n">
        <f aca="false">IF($B11=0,0,$F11/$B11)</f>
        <v>0</v>
      </c>
      <c r="I11" s="12" t="n">
        <v>14</v>
      </c>
    </row>
    <row r="12" customFormat="false" ht="14.25" hidden="false" customHeight="true" outlineLevel="0" collapsed="false">
      <c r="A12" s="11" t="s">
        <v>164</v>
      </c>
      <c r="B12" s="12" t="n">
        <v>3</v>
      </c>
      <c r="C12" s="12" t="n">
        <v>0</v>
      </c>
      <c r="D12" s="12" t="n">
        <v>2</v>
      </c>
      <c r="E12" s="12" t="n">
        <v>1</v>
      </c>
      <c r="F12" s="12" t="n">
        <f aca="false">COUNTIFS(进度表!$C:$C,$A12,进度表!$K:$K,"已完成")</f>
        <v>0</v>
      </c>
      <c r="G12" s="12" t="n">
        <f aca="false">COUNTIFS(进度表!$C:$C,$A12,进度表!$K:$K,"需重刷")</f>
        <v>0</v>
      </c>
      <c r="H12" s="13" t="n">
        <f aca="false">IF($B12=0,0,$F12/$B12)</f>
        <v>0</v>
      </c>
      <c r="I12" s="12" t="n">
        <v>4</v>
      </c>
    </row>
    <row r="13" customFormat="false" ht="14.25" hidden="false" customHeight="true" outlineLevel="0" collapsed="false">
      <c r="A13" s="11" t="s">
        <v>171</v>
      </c>
      <c r="B13" s="12" t="n">
        <v>7</v>
      </c>
      <c r="C13" s="12" t="n">
        <v>2</v>
      </c>
      <c r="D13" s="12" t="n">
        <v>4</v>
      </c>
      <c r="E13" s="12" t="n">
        <v>1</v>
      </c>
      <c r="F13" s="12" t="n">
        <f aca="false">COUNTIFS(进度表!$C:$C,$A13,进度表!$K:$K,"已完成")</f>
        <v>0</v>
      </c>
      <c r="G13" s="12" t="n">
        <f aca="false">COUNTIFS(进度表!$C:$C,$A13,进度表!$K:$K,"需重刷")</f>
        <v>0</v>
      </c>
      <c r="H13" s="13" t="n">
        <f aca="false">IF($B13=0,0,$F13/$B13)</f>
        <v>0</v>
      </c>
      <c r="I13" s="12" t="n">
        <v>7</v>
      </c>
    </row>
    <row r="14" customFormat="false" ht="14.25" hidden="false" customHeight="true" outlineLevel="0" collapsed="false">
      <c r="A14" s="11" t="s">
        <v>186</v>
      </c>
      <c r="B14" s="12" t="n">
        <v>9</v>
      </c>
      <c r="C14" s="12" t="n">
        <v>0</v>
      </c>
      <c r="D14" s="12" t="n">
        <v>8</v>
      </c>
      <c r="E14" s="12" t="n">
        <v>1</v>
      </c>
      <c r="F14" s="12" t="n">
        <f aca="false">COUNTIFS(进度表!$C:$C,$A14,进度表!$K:$K,"已完成")</f>
        <v>1</v>
      </c>
      <c r="G14" s="12" t="n">
        <f aca="false">COUNTIFS(进度表!$C:$C,$A14,进度表!$K:$K,"需重刷")</f>
        <v>0</v>
      </c>
      <c r="H14" s="13" t="n">
        <f aca="false">IF($B14=0,0,$F14/$B14)</f>
        <v>0.111111111111111</v>
      </c>
      <c r="I14" s="12" t="n">
        <v>10</v>
      </c>
    </row>
    <row r="15" customFormat="false" ht="14.25" hidden="false" customHeight="true" outlineLevel="0" collapsed="false">
      <c r="A15" s="11" t="s">
        <v>206</v>
      </c>
      <c r="B15" s="12" t="n">
        <v>10</v>
      </c>
      <c r="C15" s="12" t="n">
        <v>0</v>
      </c>
      <c r="D15" s="12" t="n">
        <v>9</v>
      </c>
      <c r="E15" s="12" t="n">
        <v>1</v>
      </c>
      <c r="F15" s="12" t="n">
        <f aca="false">COUNTIFS(进度表!$C:$C,$A15,进度表!$K:$K,"已完成")</f>
        <v>0</v>
      </c>
      <c r="G15" s="12" t="n">
        <f aca="false">COUNTIFS(进度表!$C:$C,$A15,进度表!$K:$K,"需重刷")</f>
        <v>0</v>
      </c>
      <c r="H15" s="13" t="n">
        <f aca="false">IF($B15=0,0,$F15/$B15)</f>
        <v>0</v>
      </c>
      <c r="I15" s="12" t="n">
        <v>11</v>
      </c>
    </row>
    <row r="16" customFormat="false" ht="14.25" hidden="false" customHeight="true" outlineLevel="0" collapsed="false">
      <c r="A16" s="11" t="s">
        <v>227</v>
      </c>
      <c r="B16" s="12" t="n">
        <v>8</v>
      </c>
      <c r="C16" s="12" t="n">
        <v>0</v>
      </c>
      <c r="D16" s="12" t="n">
        <v>5</v>
      </c>
      <c r="E16" s="12" t="n">
        <v>3</v>
      </c>
      <c r="F16" s="12" t="n">
        <f aca="false">COUNTIFS(进度表!$C:$C,$A16,进度表!$K:$K,"已完成")</f>
        <v>0</v>
      </c>
      <c r="G16" s="12" t="n">
        <f aca="false">COUNTIFS(进度表!$C:$C,$A16,进度表!$K:$K,"需重刷")</f>
        <v>0</v>
      </c>
      <c r="H16" s="13" t="n">
        <f aca="false">IF($B16=0,0,$F16/$B16)</f>
        <v>0</v>
      </c>
      <c r="I16" s="12" t="n">
        <v>11</v>
      </c>
    </row>
    <row r="17" customFormat="false" ht="14.25" hidden="false" customHeight="true" outlineLevel="0" collapsed="false">
      <c r="A17" s="11" t="s">
        <v>244</v>
      </c>
      <c r="B17" s="12" t="n">
        <v>12</v>
      </c>
      <c r="C17" s="12" t="n">
        <v>2</v>
      </c>
      <c r="D17" s="12" t="n">
        <v>10</v>
      </c>
      <c r="E17" s="12" t="n">
        <v>0</v>
      </c>
      <c r="F17" s="12" t="n">
        <f aca="false">COUNTIFS(进度表!$C:$C,$A17,进度表!$K:$K,"已完成")</f>
        <v>1</v>
      </c>
      <c r="G17" s="12" t="n">
        <f aca="false">COUNTIFS(进度表!$C:$C,$A17,进度表!$K:$K,"需重刷")</f>
        <v>0</v>
      </c>
      <c r="H17" s="13" t="n">
        <f aca="false">IF($B17=0,0,$F17/$B17)</f>
        <v>0.0833333333333333</v>
      </c>
      <c r="I17" s="12" t="n">
        <v>11</v>
      </c>
    </row>
    <row r="18" customFormat="false" ht="14.25" hidden="false" customHeight="true" outlineLevel="0" collapsed="false">
      <c r="A18" s="11" t="s">
        <v>270</v>
      </c>
      <c r="B18" s="12" t="n">
        <v>11</v>
      </c>
      <c r="C18" s="12" t="n">
        <v>0</v>
      </c>
      <c r="D18" s="12" t="n">
        <v>7</v>
      </c>
      <c r="E18" s="12" t="n">
        <v>4</v>
      </c>
      <c r="F18" s="12" t="n">
        <f aca="false">COUNTIFS(进度表!$C:$C,$A18,进度表!$K:$K,"已完成")</f>
        <v>1</v>
      </c>
      <c r="G18" s="12" t="n">
        <f aca="false">COUNTIFS(进度表!$C:$C,$A18,进度表!$K:$K,"需重刷")</f>
        <v>0</v>
      </c>
      <c r="H18" s="13" t="n">
        <f aca="false">IF($B18=0,0,$F18/$B18)</f>
        <v>0.0909090909090909</v>
      </c>
      <c r="I18" s="12" t="n">
        <v>15</v>
      </c>
    </row>
    <row r="19" customFormat="false" ht="14.25" hidden="false" customHeight="true" outlineLevel="0" collapsed="false">
      <c r="A19" s="11" t="s">
        <v>294</v>
      </c>
      <c r="B19" s="12" t="n">
        <v>11</v>
      </c>
      <c r="C19" s="12" t="n">
        <v>0</v>
      </c>
      <c r="D19" s="12" t="n">
        <v>11</v>
      </c>
      <c r="E19" s="12" t="n">
        <v>0</v>
      </c>
      <c r="F19" s="12" t="n">
        <f aca="false">COUNTIFS(进度表!$C:$C,$A19,进度表!$K:$K,"已完成")</f>
        <v>0</v>
      </c>
      <c r="G19" s="12" t="n">
        <f aca="false">COUNTIFS(进度表!$C:$C,$A19,进度表!$K:$K,"需重刷")</f>
        <v>0</v>
      </c>
      <c r="H19" s="13" t="n">
        <f aca="false">IF($B19=0,0,$F19/$B19)</f>
        <v>0</v>
      </c>
      <c r="I19" s="12" t="n">
        <v>11</v>
      </c>
    </row>
    <row r="20" customFormat="false" ht="14.25" hidden="false" customHeight="true" outlineLevel="0" collapsed="false">
      <c r="A20" s="11" t="s">
        <v>317</v>
      </c>
      <c r="B20" s="12" t="n">
        <v>7</v>
      </c>
      <c r="C20" s="12" t="n">
        <v>5</v>
      </c>
      <c r="D20" s="12" t="n">
        <v>2</v>
      </c>
      <c r="E20" s="12" t="n">
        <v>0</v>
      </c>
      <c r="F20" s="12" t="n">
        <f aca="false">COUNTIFS(进度表!$C:$C,$A20,进度表!$K:$K,"已完成")</f>
        <v>1</v>
      </c>
      <c r="G20" s="12" t="n">
        <f aca="false">COUNTIFS(进度表!$C:$C,$A20,进度表!$K:$K,"需重刷")</f>
        <v>0</v>
      </c>
      <c r="H20" s="13" t="n">
        <f aca="false">IF($B20=0,0,$F20/$B20)</f>
        <v>0.142857142857143</v>
      </c>
      <c r="I20" s="12" t="n">
        <v>4.5</v>
      </c>
    </row>
    <row r="21" customFormat="false" ht="14.25" hidden="false" customHeight="true" outlineLevel="0" collapsed="false">
      <c r="A21" s="14" t="s">
        <v>338</v>
      </c>
      <c r="B21" s="15" t="n">
        <f aca="false">SUM(B5:B20)</f>
        <v>137</v>
      </c>
      <c r="C21" s="15" t="n">
        <f aca="false">SUM(C5:C20)</f>
        <v>25</v>
      </c>
      <c r="D21" s="15" t="n">
        <f aca="false">SUM(D5:D20)</f>
        <v>92</v>
      </c>
      <c r="E21" s="15" t="n">
        <f aca="false">SUM(E5:E20)</f>
        <v>20</v>
      </c>
      <c r="F21" s="15" t="n">
        <f aca="false">SUM(F5:F20)</f>
        <v>20</v>
      </c>
      <c r="G21" s="15" t="n">
        <f aca="false">SUM(G5:G20)</f>
        <v>1</v>
      </c>
      <c r="H21" s="16" t="n">
        <f aca="false">IF(B21=0,0,F21/B21)</f>
        <v>0.145985401459854</v>
      </c>
      <c r="I21" s="15" t="n">
        <f aca="false">SUM(I5:I20)</f>
        <v>144.5</v>
      </c>
    </row>
    <row r="23" customFormat="false" ht="14.25" hidden="false" customHeight="true" outlineLevel="0" collapsed="false">
      <c r="A23" s="10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46"/>
  </cols>
  <sheetData>
    <row r="1" customFormat="false" ht="17.25" hidden="false" customHeight="true" outlineLevel="0" collapsed="false">
      <c r="A1" s="9" t="s">
        <v>340</v>
      </c>
    </row>
    <row r="3" customFormat="false" ht="14.25" hidden="false" customHeight="true" outlineLevel="0" collapsed="false">
      <c r="A3" s="1" t="s">
        <v>341</v>
      </c>
      <c r="B3" s="1" t="s">
        <v>342</v>
      </c>
      <c r="C3" s="1" t="s">
        <v>343</v>
      </c>
      <c r="D3" s="1" t="s">
        <v>344</v>
      </c>
      <c r="E3" s="1" t="s">
        <v>345</v>
      </c>
    </row>
    <row r="4" customFormat="false" ht="28.5" hidden="false" customHeight="true" outlineLevel="0" collapsed="false">
      <c r="A4" s="17" t="s">
        <v>346</v>
      </c>
      <c r="B4" s="18" t="s">
        <v>347</v>
      </c>
      <c r="C4" s="19" t="s">
        <v>12</v>
      </c>
      <c r="D4" s="17" t="s">
        <v>348</v>
      </c>
      <c r="E4" s="19" t="s">
        <v>349</v>
      </c>
    </row>
    <row r="5" customFormat="false" ht="28.5" hidden="false" customHeight="true" outlineLevel="0" collapsed="false">
      <c r="A5" s="17" t="s">
        <v>350</v>
      </c>
      <c r="B5" s="18" t="s">
        <v>347</v>
      </c>
      <c r="C5" s="19" t="s">
        <v>47</v>
      </c>
      <c r="D5" s="17" t="s">
        <v>351</v>
      </c>
      <c r="E5" s="19" t="s">
        <v>352</v>
      </c>
    </row>
    <row r="6" customFormat="false" ht="28.5" hidden="false" customHeight="true" outlineLevel="0" collapsed="false">
      <c r="A6" s="17" t="s">
        <v>353</v>
      </c>
      <c r="B6" s="18" t="s">
        <v>347</v>
      </c>
      <c r="C6" s="19" t="s">
        <v>63</v>
      </c>
      <c r="D6" s="17" t="s">
        <v>354</v>
      </c>
      <c r="E6" s="19" t="s">
        <v>355</v>
      </c>
    </row>
    <row r="7" customFormat="false" ht="28.5" hidden="false" customHeight="true" outlineLevel="0" collapsed="false">
      <c r="A7" s="17" t="s">
        <v>356</v>
      </c>
      <c r="B7" s="18" t="s">
        <v>347</v>
      </c>
      <c r="C7" s="19" t="s">
        <v>77</v>
      </c>
      <c r="D7" s="17" t="s">
        <v>354</v>
      </c>
      <c r="E7" s="19" t="s">
        <v>357</v>
      </c>
    </row>
    <row r="8" customFormat="false" ht="28.5" hidden="false" customHeight="true" outlineLevel="0" collapsed="false">
      <c r="A8" s="17" t="s">
        <v>358</v>
      </c>
      <c r="B8" s="18" t="s">
        <v>359</v>
      </c>
      <c r="C8" s="19" t="s">
        <v>90</v>
      </c>
      <c r="D8" s="17" t="s">
        <v>351</v>
      </c>
      <c r="E8" s="19" t="s">
        <v>360</v>
      </c>
    </row>
    <row r="9" customFormat="false" ht="28.5" hidden="false" customHeight="true" outlineLevel="0" collapsed="false">
      <c r="A9" s="17" t="s">
        <v>361</v>
      </c>
      <c r="B9" s="18" t="s">
        <v>359</v>
      </c>
      <c r="C9" s="19" t="s">
        <v>105</v>
      </c>
      <c r="D9" s="17" t="s">
        <v>362</v>
      </c>
      <c r="E9" s="19" t="s">
        <v>363</v>
      </c>
    </row>
    <row r="10" customFormat="false" ht="28.5" hidden="false" customHeight="true" outlineLevel="0" collapsed="false">
      <c r="A10" s="17" t="s">
        <v>364</v>
      </c>
      <c r="B10" s="18" t="s">
        <v>359</v>
      </c>
      <c r="C10" s="19" t="s">
        <v>133</v>
      </c>
      <c r="D10" s="17" t="s">
        <v>365</v>
      </c>
      <c r="E10" s="19" t="s">
        <v>366</v>
      </c>
    </row>
    <row r="11" customFormat="false" ht="28.5" hidden="false" customHeight="true" outlineLevel="0" collapsed="false">
      <c r="A11" s="17" t="s">
        <v>367</v>
      </c>
      <c r="B11" s="18" t="s">
        <v>368</v>
      </c>
      <c r="C11" s="19" t="s">
        <v>164</v>
      </c>
      <c r="D11" s="17" t="s">
        <v>369</v>
      </c>
      <c r="E11" s="19" t="s">
        <v>370</v>
      </c>
    </row>
    <row r="12" customFormat="false" ht="28.5" hidden="false" customHeight="true" outlineLevel="0" collapsed="false">
      <c r="A12" s="17" t="s">
        <v>371</v>
      </c>
      <c r="B12" s="18" t="s">
        <v>368</v>
      </c>
      <c r="C12" s="19" t="s">
        <v>171</v>
      </c>
      <c r="D12" s="17" t="s">
        <v>372</v>
      </c>
      <c r="E12" s="19" t="s">
        <v>373</v>
      </c>
    </row>
    <row r="13" customFormat="false" ht="28.5" hidden="false" customHeight="true" outlineLevel="0" collapsed="false">
      <c r="A13" s="17" t="s">
        <v>374</v>
      </c>
      <c r="B13" s="18" t="s">
        <v>368</v>
      </c>
      <c r="C13" s="19" t="s">
        <v>186</v>
      </c>
      <c r="D13" s="17" t="s">
        <v>375</v>
      </c>
      <c r="E13" s="19" t="s">
        <v>376</v>
      </c>
    </row>
    <row r="14" customFormat="false" ht="28.5" hidden="false" customHeight="true" outlineLevel="0" collapsed="false">
      <c r="A14" s="17" t="s">
        <v>377</v>
      </c>
      <c r="B14" s="18" t="s">
        <v>378</v>
      </c>
      <c r="C14" s="19" t="s">
        <v>206</v>
      </c>
      <c r="D14" s="17" t="s">
        <v>372</v>
      </c>
      <c r="E14" s="19" t="s">
        <v>379</v>
      </c>
    </row>
    <row r="15" customFormat="false" ht="28.5" hidden="false" customHeight="true" outlineLevel="0" collapsed="false">
      <c r="A15" s="17" t="s">
        <v>380</v>
      </c>
      <c r="B15" s="18" t="s">
        <v>378</v>
      </c>
      <c r="C15" s="19" t="s">
        <v>227</v>
      </c>
      <c r="D15" s="17" t="s">
        <v>381</v>
      </c>
      <c r="E15" s="19" t="s">
        <v>382</v>
      </c>
    </row>
    <row r="16" customFormat="false" ht="28.5" hidden="false" customHeight="true" outlineLevel="0" collapsed="false">
      <c r="A16" s="17" t="s">
        <v>383</v>
      </c>
      <c r="B16" s="18" t="s">
        <v>384</v>
      </c>
      <c r="C16" s="19" t="s">
        <v>244</v>
      </c>
      <c r="D16" s="17" t="s">
        <v>385</v>
      </c>
      <c r="E16" s="19" t="s">
        <v>386</v>
      </c>
    </row>
    <row r="17" customFormat="false" ht="28.5" hidden="false" customHeight="true" outlineLevel="0" collapsed="false">
      <c r="A17" s="17" t="s">
        <v>387</v>
      </c>
      <c r="B17" s="18" t="s">
        <v>384</v>
      </c>
      <c r="C17" s="19" t="s">
        <v>270</v>
      </c>
      <c r="D17" s="17" t="s">
        <v>372</v>
      </c>
      <c r="E17" s="19" t="s">
        <v>388</v>
      </c>
    </row>
    <row r="18" customFormat="false" ht="28.5" hidden="false" customHeight="true" outlineLevel="0" collapsed="false">
      <c r="A18" s="17" t="s">
        <v>389</v>
      </c>
      <c r="B18" s="18" t="s">
        <v>390</v>
      </c>
      <c r="C18" s="19" t="s">
        <v>294</v>
      </c>
      <c r="D18" s="17" t="s">
        <v>362</v>
      </c>
      <c r="E18" s="19" t="s">
        <v>391</v>
      </c>
    </row>
    <row r="19" customFormat="false" ht="28.5" hidden="false" customHeight="true" outlineLevel="0" collapsed="false">
      <c r="A19" s="17" t="s">
        <v>392</v>
      </c>
      <c r="B19" s="18" t="s">
        <v>390</v>
      </c>
      <c r="C19" s="19" t="s">
        <v>317</v>
      </c>
      <c r="D19" s="17" t="s">
        <v>372</v>
      </c>
      <c r="E19" s="19" t="s">
        <v>393</v>
      </c>
    </row>
    <row r="21" customFormat="false" ht="14.25" hidden="false" customHeight="true" outlineLevel="0" collapsed="false">
      <c r="A21" s="20" t="s">
        <v>394</v>
      </c>
      <c r="B21" s="21" t="s">
        <v>395</v>
      </c>
      <c r="C21" s="21" t="s">
        <v>396</v>
      </c>
      <c r="D21" s="21"/>
      <c r="E21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LibreOfficeDev/26.8.0.3$Windows_X86_64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2026-10-05T08:35:00Z</dcterms:created>
  <dc:creator>openpyxl</dc:creator>
  <dc:description/>
  <dc:language>en-US</dc:language>
  <cp:lastModifiedBy>阿斯蒂芬</cp:lastModifiedBy>
  <dcterms:modified xsi:type="dcterms:W3CDTF">2026-10-09T17:40:20Z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ACA4BDEB1C0A48B7A3ADC7E7DA7A7430_12</vt:lpwstr>
  </property>
  <property fmtid="{D5CDD505-2E9C-101B-9397-08002B2CF9AE}" pid="4" name="KSOProductBuildVer">
    <vt:lpwstr>2052-12.1.0.28505</vt:lpwstr>
  </property>
</Properties>
</file>